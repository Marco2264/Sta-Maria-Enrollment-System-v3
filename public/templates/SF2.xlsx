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xWindow="32767" yWindow="500" windowWidth="28800" windowHeight="15880"/>
  </bookViews>
  <sheets>
    <sheet name="school_form_2_ver2014.2.1.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<sst xmlns="http://schemas.openxmlformats.org/spreadsheetml/2006/main" count="644" uniqueCount="140">
  <si>
    <t>School Form 2 (SF2) Daily Attendance Report of Learners</t>
  </si>
  <si>
    <t xml:space="preserve"> </t>
  </si>
  <si>
    <t xml:space="preserve">School ID </t>
  </si>
  <si>
    <t xml:space="preserve">School Year </t>
  </si>
  <si>
    <t>2022-2023</t>
  </si>
  <si>
    <t>Report for the Month of</t>
  </si>
  <si>
    <t>MAY</t>
  </si>
  <si>
    <t>Learner Attendance Conversion Tool</t>
  </si>
  <si>
    <t>Name of School</t>
  </si>
  <si>
    <t>Sta. Maria CS SPED Center</t>
  </si>
  <si>
    <t>Grade Level</t>
  </si>
  <si>
    <t>Grade 4</t>
  </si>
  <si>
    <t xml:space="preserve">Section </t>
  </si>
  <si>
    <t>LANTAKA</t>
  </si>
  <si>
    <t>No.</t>
  </si>
  <si>
    <t>NAME
(Last Name, First Name, Middle Name)</t>
  </si>
  <si>
    <t>(1st row for date)</t>
  </si>
  <si>
    <t>Total for the Month</t>
  </si>
  <si>
    <t>REMARKS (If NLPA, state reason, please refer to legend number 2. If TRANSFERRED IN/OUT, write the name of School.)</t>
  </si>
  <si>
    <t/>
  </si>
  <si>
    <t>M</t>
  </si>
  <si>
    <t>T</t>
  </si>
  <si>
    <t>W</t>
  </si>
  <si>
    <t>TH</t>
  </si>
  <si>
    <t>F</t>
  </si>
  <si>
    <t>S</t>
  </si>
  <si>
    <t>ABSENT</t>
  </si>
  <si>
    <t>PRESENT</t>
  </si>
  <si>
    <t>Cabural, Christian </t>
  </si>
  <si>
    <t>H</t>
  </si>
  <si>
    <t>Clemente, Niño James H.</t>
  </si>
  <si>
    <t>O</t>
  </si>
  <si>
    <t>HABITUAL ABSENCES</t>
  </si>
  <si>
    <t>Combista, Angelito Matiareg</t>
  </si>
  <si>
    <t>L</t>
  </si>
  <si>
    <t>Dacanay, Jordan Galletes</t>
  </si>
  <si>
    <t>I</t>
  </si>
  <si>
    <t>Leonin, Alden Mari Aguilar</t>
  </si>
  <si>
    <t>D</t>
  </si>
  <si>
    <t>ATHLETE</t>
  </si>
  <si>
    <t>Lozano, Kenneth Cris G.</t>
  </si>
  <si>
    <t>A</t>
  </si>
  <si>
    <t>Pineda, Aldy</t>
  </si>
  <si>
    <t>Y</t>
  </si>
  <si>
    <t>Reganan, Rhegz Allen Sarmiento</t>
  </si>
  <si>
    <t>Romano, Christian Adanan</t>
  </si>
  <si>
    <t>Sanson, Meil Jhake Eijansantos</t>
  </si>
  <si>
    <t>SICK</t>
  </si>
  <si>
    <t>Santos, Joe Adriel D.</t>
  </si>
  <si>
    <t>Torion, Jhon Mark Casillian</t>
  </si>
  <si>
    <t>Traya, Bryant Rei A.</t>
  </si>
  <si>
    <t>Villanueva, Christian Rafael D.L.</t>
  </si>
  <si>
    <t>Yungot, Nasher R.</t>
  </si>
  <si>
    <t>Francisco, Aimver Carillo</t>
  </si>
  <si>
    <t>Tarang, Marvin</t>
  </si>
  <si>
    <t>Hajairini, Alrish</t>
  </si>
  <si>
    <t>Transferred In</t>
  </si>
  <si>
    <t>&lt;=== MALE | TOTAL Per Day ===&gt;</t>
  </si>
  <si>
    <t>Abalos, Lina B.</t>
  </si>
  <si>
    <t>Akbal, Haveela D.</t>
  </si>
  <si>
    <t>Bernardo, Jeeva Crizthina M.</t>
  </si>
  <si>
    <t>Arzadon, Calix, Odessey E.</t>
  </si>
  <si>
    <t>Cabural, Reah Hannah</t>
  </si>
  <si>
    <t>Canoy, Quenly A.</t>
  </si>
  <si>
    <t xml:space="preserve">HOUSE DISTANCE FROM SCHOOL </t>
  </si>
  <si>
    <t>Francisco, Zeah Ysabelle P.</t>
  </si>
  <si>
    <t>Jamasali, Jahana Arkin P.</t>
  </si>
  <si>
    <t>Jones, Scarlet T.</t>
  </si>
  <si>
    <t>Mabalo, Shakeenah A.</t>
  </si>
  <si>
    <t>Manalansan, Trisha Kate Indoc</t>
  </si>
  <si>
    <t>Martinez, Abegail F.</t>
  </si>
  <si>
    <t>Mendez, Raizza Rich C.</t>
  </si>
  <si>
    <t>Mendez, Rizza Rimie C.</t>
  </si>
  <si>
    <t>Mimpi, Nurshima Hawani</t>
  </si>
  <si>
    <t>NO LONGER PARTICIPATING IN SCHOOL</t>
  </si>
  <si>
    <t>Onutan, Rea Mae K.</t>
  </si>
  <si>
    <t>Paragas, Michaela E.</t>
  </si>
  <si>
    <t>Piñero, Vera Milane</t>
  </si>
  <si>
    <t>Rañin, Princez Jayhan T.</t>
  </si>
  <si>
    <t>Samonte, Albrenica R.</t>
  </si>
  <si>
    <t>Sanson, Shakira Babe Eijansantos</t>
  </si>
  <si>
    <t>Sausa, Chrisiel P.</t>
  </si>
  <si>
    <t>Solano, Zhermisehka Mizxhraine Z.</t>
  </si>
  <si>
    <t>Urboda, Raezzini Ayesxia H.</t>
  </si>
  <si>
    <t>Villarin, Raizalyn Quiamco</t>
  </si>
  <si>
    <t>Transferred out as of December</t>
  </si>
  <si>
    <t>Pallar, Shyen Dennisse I.</t>
  </si>
  <si>
    <t>Dedono, Elaine F.</t>
  </si>
  <si>
    <t>&lt;=== FEMALE | TOTAL Per Day ===&gt;</t>
  </si>
  <si>
    <t>Combined TOTAL Per Day</t>
  </si>
  <si>
    <t>1. CODES FOR CHECKING ATTENDANCE</t>
  </si>
  <si>
    <t>Month: APRIL</t>
  </si>
  <si>
    <t>No. of Days in School</t>
  </si>
  <si>
    <t>Summary</t>
  </si>
  <si>
    <t>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</si>
  <si>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</si>
  <si>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</si>
  <si>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class started)</t>
  </si>
  <si>
    <t>2. REASONS/CAUSES FOR NLPA</t>
  </si>
  <si>
    <t>a. Percentage of Enrolment =</t>
  </si>
  <si>
    <t>Registered Learners as of end of the month</t>
  </si>
  <si>
    <t>x 100</t>
  </si>
  <si>
    <t>a. Domestic-Related Factors</t>
  </si>
  <si>
    <t>Enrolment as of 1st Friday of the school year</t>
  </si>
  <si>
    <t>a.1. Had to take care of siblings
a.2. Early marriage/pregnancy
a.3. Parents' attitude toward schooling
a.4. Family problems</t>
  </si>
  <si>
    <t xml:space="preserve">Late enrolment </t>
  </si>
  <si>
    <t>during the month</t>
  </si>
  <si>
    <t>b. Average Daily Attendance =</t>
  </si>
  <si>
    <t>Total Daily Attendance</t>
  </si>
  <si>
    <t>(beyond cut-off)</t>
  </si>
  <si>
    <t>Number of School Days in reporting month</t>
  </si>
  <si>
    <t>Registered Learners as of</t>
  </si>
  <si>
    <t>c. Percentage of Attendance for the month =</t>
  </si>
  <si>
    <t>Average daily attendance</t>
  </si>
  <si>
    <t>end of month</t>
  </si>
  <si>
    <t>b. Individual-Related Factors</t>
  </si>
  <si>
    <t>Percentage of Enrolment as of</t>
  </si>
  <si>
    <t>b.1. Illness
b.2. Overage
b.3. Death
b.4. Drug Abuse
b.5. Poor academic performance
b.6. Lack of interest/Distractions
b.7. Hunger/Malnutrition</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</si>
  <si>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</si>
  <si>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Average Daily Attendance</t>
  </si>
  <si>
    <t>Percentage of Attendance for the month</t>
  </si>
  <si>
    <t>Number of students absent for 5 consecutive days</t>
  </si>
  <si>
    <t>*Beginning of School Year cut-off report is every 1st Friday of the School Year</t>
  </si>
  <si>
    <t>c. School-Related Factors</t>
  </si>
  <si>
    <t>NLPA</t>
  </si>
  <si>
    <t>c.1. Teacher Factor
c.2. Physical condition of classroom
c.3. Peer influence</t>
  </si>
  <si>
    <t>Transferred out</t>
  </si>
  <si>
    <t>Transferred in</t>
  </si>
  <si>
    <t>d. Geographic/Environmental</t>
  </si>
  <si>
    <t>d.1. Distance between home and school
d.2. Armed conflict (incl. Tribal wars &amp; clanfeuds)
d.3. Calamities/Disasters</t>
  </si>
  <si>
    <t>I certify that this is a true and correct report.</t>
  </si>
  <si>
    <t>IVY ATILANO LANTAKA</t>
  </si>
  <si>
    <t>e. Financial-Related</t>
  </si>
  <si>
    <t>e.1. Child labor, work</t>
  </si>
  <si>
    <t>f. Others (Specify)</t>
  </si>
  <si>
    <t>(Signature of Adviser over Printed Name)</t>
  </si>
  <si>
    <t>Attested by:</t>
  </si>
  <si>
    <t>TERESITO B. APOLINARIO</t>
  </si>
  <si>
    <t>Generated thru LIS</t>
  </si>
  <si>
    <t>(Signature of School Head over Printed Name)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</si>
</sst>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quot;* #,##0.00_);_(&quot;₱&quot;* \(#,##0.00\);_(&quot;₱&quot;* &quot;-&quot;??_);_(@_)"/>
    <numFmt numFmtId="178" formatCode="_(* #,##0_);_(* \(#,##0\);_(* &quot;-&quot;_);_(@_)"/>
    <numFmt numFmtId="179" formatCode="_(&quot;₱&quot;* #,##0_);_(&quot;₱&quot;* \(#,##0\);_(&quot;₱&quot;* &quot;-&quot;_);_(@_)"/>
    <numFmt numFmtId="180" formatCode="#.###"/>
  </numFmts>
  <fonts count="41">
    <font>
      <sz val="10"/>
      <name val="Arial"/>
      <charset val="0"/>
    </font>
    <font>
      <b/>
      <sz val="13"/>
      <color theme="1"/>
      <name val="SansSerif"/>
      <charset val="0"/>
    </font>
    <font>
      <sz val="10"/>
      <color theme="1"/>
      <name val="Arial"/>
      <family val="2"/>
      <charset val="0"/>
    </font>
    <font>
      <i/>
      <sz val="5"/>
      <color theme="1"/>
      <name val="SansSerif"/>
      <charset val="0"/>
    </font>
    <font>
      <sz val="6"/>
      <color theme="1"/>
      <name val="SansSerif"/>
      <charset val="0"/>
    </font>
    <font>
      <sz val="9"/>
      <color theme="1"/>
      <name val="SansSerif"/>
      <charset val="0"/>
    </font>
    <font>
      <sz val="8"/>
      <color theme="1"/>
      <name val="SansSerif"/>
      <charset val="0"/>
    </font>
    <font>
      <b/>
      <sz val="8"/>
      <color theme="1"/>
      <name val="SansSerif"/>
      <charset val="0"/>
    </font>
    <font>
      <b/>
      <sz val="6"/>
      <color theme="1"/>
      <name val="SansSerif"/>
      <charset val="0"/>
    </font>
    <font>
      <b/>
      <sz val="5"/>
      <color theme="1"/>
      <name val="SansSerif"/>
      <charset val="0"/>
    </font>
    <font>
      <sz val="7"/>
      <color theme="1"/>
      <name val="SansSerif"/>
      <charset val="0"/>
    </font>
    <font>
      <sz val="10"/>
      <color theme="1"/>
      <name val="Apple Braille"/>
      <charset val="1"/>
    </font>
    <font>
      <sz val="12"/>
      <color theme="1"/>
      <name val="Apple Braille"/>
      <charset val="1"/>
    </font>
    <font>
      <b/>
      <sz val="5"/>
      <color theme="1"/>
      <name val="Arial Narrow"/>
      <family val="2"/>
      <charset val="0"/>
    </font>
    <font>
      <sz val="10"/>
      <name val="Arial"/>
      <family val="2"/>
      <charset val="0"/>
    </font>
    <font>
      <sz val="13"/>
      <color theme="1"/>
      <name val="Apple Braille"/>
      <charset val="1"/>
    </font>
    <font>
      <b/>
      <sz val="9"/>
      <color theme="1"/>
      <name val="SansSerif"/>
      <charset val="0"/>
    </font>
    <font>
      <b/>
      <sz val="9"/>
      <color rgb="FF000000"/>
      <name val="SansSerif"/>
      <charset val="0"/>
    </font>
    <font>
      <sz val="5"/>
      <color theme="1"/>
      <name val="SansSerif"/>
      <charset val="0"/>
    </font>
    <font>
      <b/>
      <i/>
      <sz val="5"/>
      <color theme="1"/>
      <name val="SansSerif"/>
      <charset val="0"/>
    </font>
    <font>
      <i/>
      <sz val="8"/>
      <color theme="1"/>
      <name val="SansSerif"/>
      <charset val="0"/>
    </font>
    <font>
      <b/>
      <sz val="10"/>
      <color theme="1"/>
      <name val="SansSerif"/>
      <charset val="0"/>
    </font>
    <font>
      <u/>
      <sz val="10"/>
      <color theme="10"/>
      <name val="Arial"/>
      <family val="2"/>
      <charset val="0"/>
    </font>
    <font>
      <u/>
      <sz val="10"/>
      <color theme="11"/>
      <name val="Arial"/>
      <family val="2"/>
      <charset val="0"/>
    </font>
    <font>
      <sz val="12"/>
      <color rgb="FFFF0000"/>
      <name val="Calibri"/>
      <family val="2"/>
      <charset val="0"/>
      <scheme val="minor"/>
    </font>
    <font>
      <sz val="18"/>
      <color theme="3"/>
      <name val="Calibri Light"/>
      <family val="2"/>
      <charset val="0"/>
      <scheme val="major"/>
    </font>
    <font>
      <i/>
      <sz val="12"/>
      <color rgb="FF7F7F7F"/>
      <name val="Calibri"/>
      <family val="2"/>
      <charset val="0"/>
      <scheme val="minor"/>
    </font>
    <font>
      <b/>
      <sz val="15"/>
      <color theme="3"/>
      <name val="Calibri"/>
      <family val="2"/>
      <charset val="0"/>
      <scheme val="minor"/>
    </font>
    <font>
      <b/>
      <sz val="13"/>
      <color theme="3"/>
      <name val="Calibri"/>
      <family val="2"/>
      <charset val="0"/>
      <scheme val="minor"/>
    </font>
    <font>
      <b/>
      <sz val="11"/>
      <color theme="3"/>
      <name val="Calibri"/>
      <family val="2"/>
      <charset val="0"/>
      <scheme val="minor"/>
    </font>
    <font>
      <sz val="12"/>
      <color rgb="FF3F3F76"/>
      <name val="Calibri"/>
      <family val="2"/>
      <charset val="0"/>
      <scheme val="minor"/>
    </font>
    <font>
      <b/>
      <sz val="12"/>
      <color rgb="FF3F3F3F"/>
      <name val="Calibri"/>
      <family val="2"/>
      <charset val="0"/>
      <scheme val="minor"/>
    </font>
    <font>
      <b/>
      <sz val="12"/>
      <color rgb="FFFA7D00"/>
      <name val="Calibri"/>
      <family val="2"/>
      <charset val="0"/>
      <scheme val="minor"/>
    </font>
    <font>
      <b/>
      <sz val="12"/>
      <color theme="0"/>
      <name val="Calibri"/>
      <family val="2"/>
      <charset val="0"/>
      <scheme val="minor"/>
    </font>
    <font>
      <sz val="12"/>
      <color rgb="FFFA7D00"/>
      <name val="Calibri"/>
      <family val="2"/>
      <charset val="0"/>
      <scheme val="minor"/>
    </font>
    <font>
      <b/>
      <sz val="12"/>
      <color theme="1"/>
      <name val="Calibri"/>
      <family val="2"/>
      <charset val="0"/>
      <scheme val="minor"/>
    </font>
    <font>
      <sz val="12"/>
      <color rgb="FF006100"/>
      <name val="Calibri"/>
      <family val="2"/>
      <charset val="0"/>
      <scheme val="minor"/>
    </font>
    <font>
      <sz val="12"/>
      <color rgb="FF9C0006"/>
      <name val="Calibri"/>
      <family val="2"/>
      <charset val="0"/>
      <scheme val="minor"/>
    </font>
    <font>
      <sz val="12"/>
      <color rgb="FF9C5700"/>
      <name val="Calibri"/>
      <family val="2"/>
      <charset val="0"/>
      <scheme val="minor"/>
    </font>
    <font>
      <sz val="12"/>
      <color theme="0"/>
      <name val="Calibri"/>
      <family val="2"/>
      <charset val="0"/>
      <scheme val="minor"/>
    </font>
    <font>
      <sz val="12"/>
      <color theme="1"/>
      <name val="Calibri"/>
      <family val="2"/>
      <charset val="0"/>
      <scheme val="minor"/>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3">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medium">
        <color indexed="8"/>
      </left>
      <right style="thin">
        <color indexed="8"/>
      </right>
      <top style="thin">
        <color indexed="8"/>
      </top>
      <bottom/>
      <diagonal/>
    </border>
    <border>
      <left/>
      <right/>
      <top style="thin">
        <color indexed="8"/>
      </top>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8"/>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top style="thin">
        <color indexed="8"/>
      </top>
      <bottom style="thin">
        <color indexed="8"/>
      </bottom>
      <diagonal/>
    </border>
    <border>
      <left/>
      <right style="medium">
        <color auto="1"/>
      </right>
      <top style="thin">
        <color indexed="8"/>
      </top>
      <bottom style="thin">
        <color indexed="8"/>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indexed="8"/>
      </bottom>
      <diagonal/>
    </border>
    <border>
      <left/>
      <right/>
      <top style="thin">
        <color auto="1"/>
      </top>
      <bottom style="thin">
        <color indexed="8"/>
      </bottom>
      <diagonal/>
    </border>
    <border>
      <left/>
      <right style="thin">
        <color auto="1"/>
      </right>
      <top style="thin">
        <color auto="1"/>
      </top>
      <bottom style="thin">
        <color indexed="8"/>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indexed="8"/>
      </left>
      <right style="medium">
        <color indexed="8"/>
      </right>
      <top style="thin">
        <color indexed="8"/>
      </top>
      <bottom/>
      <diagonal/>
    </border>
    <border>
      <left style="medium">
        <color auto="1"/>
      </left>
      <right/>
      <top style="thin">
        <color indexed="8"/>
      </top>
      <bottom style="medium">
        <color auto="1"/>
      </bottom>
      <diagonal/>
    </border>
    <border>
      <left/>
      <right style="medium">
        <color auto="1"/>
      </right>
      <top style="thin">
        <color indexed="8"/>
      </top>
      <bottom style="medium">
        <color auto="1"/>
      </bottom>
      <diagonal/>
    </border>
    <border>
      <left style="medium">
        <color auto="1"/>
      </left>
      <right/>
      <top style="double">
        <color indexed="8"/>
      </top>
      <bottom style="medium">
        <color auto="1"/>
      </bottom>
      <diagonal/>
    </border>
    <border>
      <left/>
      <right/>
      <top style="double">
        <color indexed="8"/>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8"/>
      </left>
      <right/>
      <top style="medium">
        <color auto="1"/>
      </top>
      <bottom style="medium">
        <color auto="1"/>
      </bottom>
      <diagonal/>
    </border>
    <border>
      <left/>
      <right style="thin">
        <color indexed="8"/>
      </right>
      <top style="medium">
        <color auto="1"/>
      </top>
      <bottom style="medium">
        <color auto="1"/>
      </bottom>
      <diagonal/>
    </border>
    <border>
      <left style="thin">
        <color indexed="8"/>
      </left>
      <right style="medium">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style="medium">
        <color indexed="8"/>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medium">
        <color indexed="8"/>
      </right>
      <top style="thin">
        <color indexed="8"/>
      </top>
      <bottom style="medium">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medium">
        <color auto="1"/>
      </left>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medium">
        <color auto="1"/>
      </right>
      <top/>
      <bottom style="thin">
        <color indexed="8"/>
      </bottom>
      <diagonal/>
    </border>
    <border>
      <left style="thin">
        <color indexed="8"/>
      </left>
      <right style="medium">
        <color indexed="8"/>
      </right>
      <top/>
      <bottom style="thin">
        <color indexed="8"/>
      </bottom>
      <diagonal/>
    </border>
    <border>
      <left style="medium">
        <color indexed="8"/>
      </left>
      <right style="thin">
        <color indexed="8"/>
      </right>
      <top/>
      <bottom style="thin">
        <color indexed="8"/>
      </bottom>
      <diagonal/>
    </border>
    <border>
      <left/>
      <right/>
      <top/>
      <bottom style="thin">
        <color indexed="8"/>
      </bottom>
      <diagonal/>
    </border>
    <border>
      <left style="thin">
        <color indexed="8"/>
      </left>
      <right/>
      <top style="thin">
        <color auto="1"/>
      </top>
      <bottom style="thin">
        <color auto="1"/>
      </bottom>
      <diagonal/>
    </border>
    <border>
      <left style="thin">
        <color indexed="8"/>
      </left>
      <right/>
      <top style="thin">
        <color auto="1"/>
      </top>
      <bottom style="double">
        <color indexed="8"/>
      </bottom>
      <diagonal/>
    </border>
    <border>
      <left/>
      <right/>
      <top style="thin">
        <color auto="1"/>
      </top>
      <bottom style="double">
        <color indexed="8"/>
      </bottom>
      <diagonal/>
    </border>
    <border>
      <left/>
      <right style="thin">
        <color auto="1"/>
      </right>
      <top style="thin">
        <color auto="1"/>
      </top>
      <bottom style="double">
        <color indexed="8"/>
      </bottom>
      <diagonal/>
    </border>
    <border>
      <left style="thin">
        <color indexed="8"/>
      </left>
      <right/>
      <top style="double">
        <color indexed="8"/>
      </top>
      <bottom style="double">
        <color indexed="8"/>
      </bottom>
      <diagonal/>
    </border>
    <border>
      <left/>
      <right/>
      <top style="double">
        <color indexed="8"/>
      </top>
      <bottom style="double">
        <color indexed="8"/>
      </bottom>
      <diagonal/>
    </border>
    <border>
      <left/>
      <right style="thin">
        <color auto="1"/>
      </right>
      <top style="double">
        <color indexed="8"/>
      </top>
      <bottom style="double">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thin">
        <color indexed="8"/>
      </top>
      <bottom style="medium">
        <color auto="1"/>
      </bottom>
      <diagonal/>
    </border>
    <border>
      <left style="thin">
        <color indexed="8"/>
      </left>
      <right style="thin">
        <color indexed="8"/>
      </right>
      <top style="thin">
        <color indexed="8"/>
      </top>
      <bottom style="medium">
        <color auto="1"/>
      </bottom>
      <diagonal/>
    </border>
    <border>
      <left style="thin">
        <color indexed="8"/>
      </left>
      <right/>
      <top style="thin">
        <color indexed="8"/>
      </top>
      <bottom style="medium">
        <color auto="1"/>
      </bottom>
      <diagonal/>
    </border>
    <border>
      <left style="medium">
        <color indexed="8"/>
      </left>
      <right/>
      <top style="thin">
        <color indexed="8"/>
      </top>
      <bottom style="medium">
        <color auto="1"/>
      </bottom>
      <diagonal/>
    </border>
    <border>
      <left/>
      <right style="medium">
        <color indexed="8"/>
      </right>
      <top style="thin">
        <color indexed="8"/>
      </top>
      <bottom/>
      <diagonal/>
    </border>
    <border>
      <left/>
      <right/>
      <top style="thin">
        <color indexed="8"/>
      </top>
      <bottom style="medium">
        <color auto="1"/>
      </bottom>
      <diagonal/>
    </border>
    <border>
      <left style="medium">
        <color auto="1"/>
      </left>
      <right/>
      <top style="medium">
        <color auto="1"/>
      </top>
      <bottom style="medium">
        <color auto="1"/>
      </bottom>
      <diagonal/>
    </border>
    <border>
      <left style="thin">
        <color rgb="FF000000"/>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indexed="8"/>
      </left>
      <right/>
      <top/>
      <bottom/>
      <diagonal/>
    </border>
    <border>
      <left/>
      <right style="thin">
        <color indexed="8"/>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indexed="8"/>
      </right>
      <top/>
      <bottom style="thin">
        <color indexed="8"/>
      </bottom>
      <diagonal/>
    </border>
    <border>
      <left style="medium">
        <color auto="1"/>
      </left>
      <right style="medium">
        <color auto="1"/>
      </right>
      <top/>
      <bottom style="medium">
        <color auto="1"/>
      </bottom>
      <diagonal/>
    </border>
    <border>
      <left style="thin">
        <color indexed="8"/>
      </left>
      <right style="thin">
        <color indexed="8"/>
      </right>
      <top/>
      <bottom/>
      <diagonal/>
    </border>
    <border>
      <left/>
      <right style="thin">
        <color indexed="9"/>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8"/>
      </right>
      <top/>
      <bottom style="medium">
        <color indexed="8"/>
      </bottom>
      <diagonal/>
    </border>
    <border>
      <left style="thin">
        <color indexed="8"/>
      </left>
      <right/>
      <top/>
      <bottom style="medium">
        <color indexed="8"/>
      </bottom>
      <diagonal/>
    </border>
    <border>
      <left style="thin">
        <color indexed="8"/>
      </left>
      <right style="thin">
        <color indexed="8"/>
      </right>
      <top/>
      <bottom style="medium">
        <color indexed="8"/>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Alignment="0" applyProtection="0"/>
    <xf numFmtId="176" fontId="0" fillId="0" borderId="0" applyNumberFormat="0" applyFont="0" applyFill="0" applyBorder="0" applyAlignment="0" applyProtection="0"/>
    <xf numFmtId="177" fontId="0" fillId="0" borderId="0" applyNumberFormat="0" applyFont="0" applyFill="0" applyBorder="0" applyAlignment="0" applyProtection="0"/>
    <xf numFmtId="9" fontId="0" fillId="0" borderId="0" applyNumberFormat="0" applyFont="0" applyFill="0" applyBorder="0" applyAlignment="0" applyProtection="0"/>
    <xf numFmtId="178" fontId="0" fillId="0" borderId="0" applyNumberFormat="0" applyFont="0" applyFill="0" applyBorder="0" applyAlignment="0" applyProtection="0"/>
    <xf numFmtId="179" fontId="0" fillId="0" borderId="0" applyNumberFormat="0" applyFon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14" fillId="3" borderId="124" applyNumberFormat="0" applyFont="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5" applyNumberFormat="0" applyFill="0" applyAlignment="0" applyProtection="0"/>
    <xf numFmtId="0" fontId="28" fillId="0" borderId="126" applyNumberFormat="0" applyFill="0" applyAlignment="0" applyProtection="0"/>
    <xf numFmtId="0" fontId="29" fillId="0" borderId="127" applyNumberFormat="0" applyFill="0" applyAlignment="0" applyProtection="0"/>
    <xf numFmtId="0" fontId="29" fillId="0" borderId="0" applyNumberFormat="0" applyFill="0" applyBorder="0" applyAlignment="0" applyProtection="0"/>
    <xf numFmtId="0" fontId="30" fillId="4" borderId="128" applyNumberFormat="0" applyAlignment="0" applyProtection="0"/>
    <xf numFmtId="0" fontId="31" fillId="5" borderId="129" applyNumberFormat="0" applyAlignment="0" applyProtection="0"/>
    <xf numFmtId="0" fontId="32" fillId="5" borderId="128" applyNumberFormat="0" applyAlignment="0" applyProtection="0"/>
    <xf numFmtId="0" fontId="33" fillId="6" borderId="130" applyNumberFormat="0" applyAlignment="0" applyProtection="0"/>
    <xf numFmtId="0" fontId="34" fillId="0" borderId="131" applyNumberFormat="0" applyFill="0" applyAlignment="0" applyProtection="0"/>
    <xf numFmtId="0" fontId="35" fillId="0" borderId="132" applyNumberFormat="0" applyFill="0" applyAlignment="0" applyProtection="0"/>
    <xf numFmtId="0" fontId="36" fillId="7" borderId="0" applyNumberFormat="0" applyBorder="0" applyAlignment="0" applyProtection="0"/>
    <xf numFmtId="0" fontId="37" fillId="8" borderId="0" applyNumberFormat="0" applyBorder="0" applyAlignment="0" applyProtection="0"/>
    <xf numFmtId="0" fontId="38" fillId="9" borderId="0" applyNumberFormat="0" applyBorder="0" applyAlignment="0" applyProtection="0"/>
    <xf numFmtId="0" fontId="39" fillId="10" borderId="0" applyNumberFormat="0" applyBorder="0" applyAlignment="0" applyProtection="0"/>
    <xf numFmtId="0" fontId="40" fillId="11"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39" fillId="14"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39" fillId="18" borderId="0" applyNumberFormat="0" applyBorder="0" applyAlignment="0" applyProtection="0"/>
    <xf numFmtId="0" fontId="40" fillId="19"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39" fillId="22" borderId="0" applyNumberFormat="0" applyBorder="0" applyAlignment="0" applyProtection="0"/>
    <xf numFmtId="0" fontId="40" fillId="23" borderId="0" applyNumberFormat="0" applyBorder="0" applyAlignment="0" applyProtection="0"/>
    <xf numFmtId="0" fontId="40" fillId="24" borderId="0" applyNumberFormat="0" applyBorder="0" applyAlignment="0" applyProtection="0"/>
    <xf numFmtId="0" fontId="40" fillId="25" borderId="0" applyNumberFormat="0" applyBorder="0" applyAlignment="0" applyProtection="0"/>
    <xf numFmtId="0" fontId="39" fillId="26" borderId="0" applyNumberFormat="0" applyBorder="0" applyAlignment="0" applyProtection="0"/>
    <xf numFmtId="0" fontId="40" fillId="27" borderId="0" applyNumberFormat="0" applyBorder="0" applyAlignment="0" applyProtection="0"/>
    <xf numFmtId="0" fontId="40" fillId="28" borderId="0" applyNumberFormat="0" applyBorder="0" applyAlignment="0" applyProtection="0"/>
    <xf numFmtId="0" fontId="40" fillId="29" borderId="0" applyNumberFormat="0" applyBorder="0" applyAlignment="0" applyProtection="0"/>
    <xf numFmtId="0" fontId="39"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33" borderId="0" applyNumberFormat="0" applyBorder="0" applyAlignment="0" applyProtection="0"/>
  </cellStyleXfs>
  <cellXfs count="377">
    <xf numFmtId="0" fontId="0" fillId="0" borderId="0" xfId="0" applyNumberFormat="1" applyFont="1" applyFill="1" applyBorder="1" applyAlignment="1"/>
    <xf numFmtId="0" fontId="1" fillId="0" borderId="0" xfId="0" applyNumberFormat="1" applyFont="1" applyFill="1" applyBorder="1" applyAlignment="1" applyProtection="1">
      <alignment horizontal="center" vertical="top" wrapText="1"/>
    </xf>
    <xf numFmtId="0" fontId="2" fillId="0" borderId="0" xfId="0" applyNumberFormat="1" applyFont="1" applyFill="1" applyBorder="1" applyAlignment="1"/>
    <xf numFmtId="0" fontId="3" fillId="0" borderId="0" xfId="0" applyNumberFormat="1" applyFont="1" applyFill="1" applyBorder="1" applyAlignment="1" applyProtection="1">
      <alignment horizontal="center" vertical="top" wrapText="1"/>
    </xf>
    <xf numFmtId="0" fontId="4" fillId="0" borderId="0" xfId="0" applyNumberFormat="1" applyFont="1" applyFill="1" applyBorder="1" applyAlignment="1" applyProtection="1">
      <alignment horizontal="right" vertical="center" wrapText="1"/>
    </xf>
    <xf numFmtId="0" fontId="5" fillId="0" borderId="0" xfId="0" applyNumberFormat="1" applyFont="1" applyFill="1" applyBorder="1" applyAlignment="1" applyProtection="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5" fillId="0" borderId="12" xfId="0" applyFont="1" applyBorder="1" applyAlignment="1">
      <alignment horizontal="center" vertical="top" wrapText="1"/>
    </xf>
    <xf numFmtId="0" fontId="5" fillId="0" borderId="3" xfId="0" applyFont="1" applyBorder="1" applyAlignment="1">
      <alignment horizontal="center" vertical="top" wrapText="1"/>
    </xf>
    <xf numFmtId="0" fontId="5" fillId="0" borderId="13" xfId="0" applyNumberFormat="1" applyFont="1" applyFill="1" applyBorder="1" applyAlignment="1" applyProtection="1">
      <alignment horizontal="center" vertical="top" wrapText="1"/>
    </xf>
    <xf numFmtId="0" fontId="5" fillId="0" borderId="1" xfId="0" applyFont="1" applyBorder="1" applyAlignment="1">
      <alignment horizontal="center" vertical="top" wrapText="1"/>
    </xf>
    <xf numFmtId="0" fontId="5" fillId="0" borderId="14" xfId="0" applyNumberFormat="1" applyFont="1" applyFill="1" applyBorder="1" applyAlignment="1" applyProtection="1">
      <alignment horizontal="center" vertical="top" wrapText="1"/>
    </xf>
    <xf numFmtId="0" fontId="5" fillId="0" borderId="2" xfId="0" applyFont="1" applyBorder="1" applyAlignment="1">
      <alignment horizontal="center" vertical="top" wrapText="1"/>
    </xf>
    <xf numFmtId="0" fontId="5" fillId="0" borderId="13" xfId="0" applyNumberFormat="1" applyFont="1" applyFill="1" applyBorder="1" applyAlignment="1" applyProtection="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8" fillId="0" borderId="0"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NumberFormat="1" applyFont="1" applyFill="1" applyBorder="1" applyAlignment="1" applyProtection="1">
      <alignment horizontal="center" vertical="center" wrapText="1"/>
    </xf>
    <xf numFmtId="0" fontId="4" fillId="0" borderId="21" xfId="0" applyFont="1" applyBorder="1" applyAlignment="1">
      <alignment horizontal="center" vertical="center" wrapText="1"/>
    </xf>
    <xf numFmtId="0" fontId="4" fillId="0" borderId="22" xfId="0" applyNumberFormat="1" applyFont="1" applyFill="1" applyBorder="1" applyAlignment="1" applyProtection="1">
      <alignment horizontal="center" vertical="center" wrapText="1"/>
    </xf>
    <xf numFmtId="0" fontId="4" fillId="0" borderId="23" xfId="0" applyNumberFormat="1" applyFont="1" applyFill="1" applyBorder="1" applyAlignment="1" applyProtection="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NumberFormat="1" applyFont="1" applyFill="1" applyBorder="1" applyAlignment="1" applyProtection="1">
      <alignment horizontal="center" vertical="center" wrapText="1"/>
    </xf>
    <xf numFmtId="0" fontId="4" fillId="0" borderId="29"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180" fontId="10" fillId="0" borderId="32" xfId="0" applyNumberFormat="1" applyFont="1" applyBorder="1" applyAlignment="1">
      <alignment horizontal="center" vertical="center" wrapText="1"/>
    </xf>
    <xf numFmtId="180" fontId="10" fillId="0" borderId="33" xfId="0" applyNumberFormat="1" applyFont="1" applyBorder="1" applyAlignment="1">
      <alignment horizontal="center" vertical="center" wrapText="1"/>
    </xf>
    <xf numFmtId="0" fontId="11" fillId="0" borderId="34" xfId="0" applyFont="1" applyBorder="1" applyAlignment="1">
      <alignment horizontal="left"/>
    </xf>
    <xf numFmtId="0" fontId="11" fillId="0" borderId="35" xfId="0" applyFont="1" applyBorder="1" applyAlignment="1">
      <alignment horizontal="left"/>
    </xf>
    <xf numFmtId="0" fontId="11" fillId="0" borderId="36" xfId="0" applyFont="1" applyBorder="1" applyAlignment="1">
      <alignment horizontal="left"/>
    </xf>
    <xf numFmtId="0" fontId="12" fillId="0" borderId="37" xfId="0" applyFont="1" applyBorder="1"/>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9" xfId="0" applyNumberFormat="1" applyFont="1" applyFill="1" applyBorder="1" applyAlignment="1" applyProtection="1">
      <alignment horizontal="center" vertical="center" wrapText="1"/>
    </xf>
    <xf numFmtId="0" fontId="5" fillId="0" borderId="40" xfId="0" applyFont="1" applyBorder="1" applyAlignment="1">
      <alignment horizontal="center" vertical="center" wrapText="1"/>
    </xf>
    <xf numFmtId="0" fontId="5" fillId="0" borderId="3" xfId="0" applyNumberFormat="1" applyFont="1" applyFill="1" applyBorder="1" applyAlignment="1" applyProtection="1">
      <alignment horizontal="center" vertical="center" wrapText="1"/>
    </xf>
    <xf numFmtId="0" fontId="5" fillId="0" borderId="13" xfId="0" applyNumberFormat="1" applyFont="1" applyFill="1" applyBorder="1" applyAlignment="1" applyProtection="1">
      <alignment horizontal="center"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1" xfId="0" applyNumberFormat="1" applyFont="1" applyFill="1" applyBorder="1" applyAlignment="1" applyProtection="1">
      <alignment horizontal="center" vertical="center" wrapText="1"/>
    </xf>
    <xf numFmtId="0" fontId="5" fillId="0" borderId="12" xfId="0" applyFont="1" applyBorder="1" applyAlignment="1">
      <alignment horizontal="center" vertical="center" wrapText="1"/>
    </xf>
    <xf numFmtId="0" fontId="5" fillId="0" borderId="14" xfId="0" applyNumberFormat="1" applyFont="1" applyFill="1" applyBorder="1" applyAlignment="1" applyProtection="1">
      <alignment horizontal="center" vertical="center" wrapText="1"/>
    </xf>
    <xf numFmtId="0" fontId="5" fillId="0" borderId="2" xfId="0" applyFont="1" applyBorder="1" applyAlignment="1">
      <alignment horizontal="center" vertical="center" wrapText="1"/>
    </xf>
    <xf numFmtId="0" fontId="5" fillId="0" borderId="38" xfId="0" applyNumberFormat="1" applyFont="1" applyFill="1" applyBorder="1" applyAlignment="1" applyProtection="1">
      <alignment horizontal="center" vertical="center" wrapText="1"/>
    </xf>
    <xf numFmtId="0" fontId="5" fillId="0" borderId="39" xfId="0" applyFont="1" applyBorder="1" applyAlignment="1">
      <alignment horizontal="left" vertical="top" wrapText="1"/>
    </xf>
    <xf numFmtId="0" fontId="5" fillId="0" borderId="40" xfId="0" applyFont="1" applyBorder="1" applyAlignment="1">
      <alignment horizontal="left" vertical="top" wrapText="1"/>
    </xf>
    <xf numFmtId="0" fontId="13" fillId="0" borderId="2"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 xfId="0" applyFont="1" applyBorder="1" applyAlignment="1">
      <alignment horizontal="center" vertical="center" wrapText="1"/>
    </xf>
    <xf numFmtId="180" fontId="10" fillId="0" borderId="43" xfId="0" applyNumberFormat="1" applyFont="1" applyBorder="1" applyAlignment="1">
      <alignment horizontal="center" vertical="center" wrapText="1"/>
    </xf>
    <xf numFmtId="180" fontId="10" fillId="0" borderId="44" xfId="0" applyNumberFormat="1" applyFont="1" applyBorder="1" applyAlignment="1">
      <alignment horizontal="center" vertical="center" wrapText="1"/>
    </xf>
    <xf numFmtId="0" fontId="11" fillId="0" borderId="45" xfId="0" applyFont="1" applyBorder="1" applyAlignment="1">
      <alignment horizontal="left"/>
    </xf>
    <xf numFmtId="0" fontId="11" fillId="0" borderId="46" xfId="0" applyFont="1" applyBorder="1" applyAlignment="1">
      <alignment horizontal="left"/>
    </xf>
    <xf numFmtId="0" fontId="11" fillId="0" borderId="47" xfId="0" applyFont="1" applyBorder="1" applyAlignment="1">
      <alignment horizontal="left"/>
    </xf>
    <xf numFmtId="0" fontId="12" fillId="0" borderId="48" xfId="0" applyFont="1" applyBorder="1"/>
    <xf numFmtId="0" fontId="5" fillId="0" borderId="49" xfId="0" applyFont="1" applyBorder="1" applyAlignment="1">
      <alignment horizontal="center" vertical="center" wrapText="1"/>
    </xf>
    <xf numFmtId="0" fontId="5" fillId="0" borderId="50" xfId="0" applyFont="1" applyBorder="1" applyAlignment="1">
      <alignment horizontal="center" vertical="center" wrapText="1"/>
    </xf>
    <xf numFmtId="0" fontId="5" fillId="0" borderId="50" xfId="0" applyNumberFormat="1" applyFont="1" applyFill="1" applyBorder="1" applyAlignment="1" applyProtection="1">
      <alignment horizontal="center" vertical="center" wrapText="1"/>
    </xf>
    <xf numFmtId="0" fontId="5" fillId="0" borderId="51" xfId="0" applyFont="1" applyBorder="1" applyAlignment="1">
      <alignment horizontal="center" vertical="center" wrapText="1"/>
    </xf>
    <xf numFmtId="0" fontId="5" fillId="0" borderId="49" xfId="0" applyNumberFormat="1" applyFont="1" applyFill="1" applyBorder="1" applyAlignment="1" applyProtection="1">
      <alignment horizontal="center" vertical="center" wrapText="1"/>
    </xf>
    <xf numFmtId="0" fontId="5" fillId="0" borderId="50" xfId="0" applyFont="1" applyBorder="1" applyAlignment="1">
      <alignment horizontal="left" vertical="top" wrapText="1"/>
    </xf>
    <xf numFmtId="0" fontId="5" fillId="0" borderId="51" xfId="0" applyFont="1" applyBorder="1" applyAlignment="1">
      <alignment horizontal="left" vertical="top" wrapText="1"/>
    </xf>
    <xf numFmtId="0" fontId="11" fillId="0" borderId="52" xfId="0" applyFont="1" applyBorder="1" applyAlignment="1">
      <alignment horizontal="left"/>
    </xf>
    <xf numFmtId="0" fontId="11" fillId="0" borderId="53" xfId="0" applyFont="1" applyBorder="1" applyAlignment="1">
      <alignment horizontal="left"/>
    </xf>
    <xf numFmtId="0" fontId="11" fillId="0" borderId="54" xfId="0" applyFont="1" applyBorder="1" applyAlignment="1">
      <alignment horizontal="left"/>
    </xf>
    <xf numFmtId="0" fontId="11" fillId="0" borderId="43" xfId="0" applyFont="1" applyBorder="1" applyAlignment="1">
      <alignment horizontal="left" wrapText="1"/>
    </xf>
    <xf numFmtId="0" fontId="11" fillId="0" borderId="2" xfId="0" applyFont="1" applyBorder="1" applyAlignment="1">
      <alignment horizontal="left" wrapText="1"/>
    </xf>
    <xf numFmtId="0" fontId="14" fillId="0" borderId="43" xfId="0" applyNumberFormat="1" applyFont="1" applyFill="1" applyBorder="1" applyAlignment="1">
      <alignment horizontal="left"/>
    </xf>
    <xf numFmtId="0" fontId="0" fillId="0" borderId="2" xfId="0" applyNumberFormat="1" applyFont="1" applyFill="1" applyBorder="1" applyAlignment="1">
      <alignment horizontal="left"/>
    </xf>
    <xf numFmtId="0" fontId="10" fillId="0" borderId="43"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2" xfId="0" applyFont="1" applyBorder="1" applyAlignment="1">
      <alignment horizontal="left" vertical="center" wrapText="1"/>
    </xf>
    <xf numFmtId="0" fontId="10" fillId="0" borderId="43" xfId="0" applyFont="1" applyBorder="1" applyAlignment="1">
      <alignment horizontal="left" vertical="center" wrapText="1"/>
    </xf>
    <xf numFmtId="0" fontId="5" fillId="0" borderId="55" xfId="0" applyFont="1" applyBorder="1" applyAlignment="1">
      <alignment horizontal="center" vertical="center" wrapText="1"/>
    </xf>
    <xf numFmtId="0" fontId="5" fillId="0" borderId="56" xfId="0" applyFont="1" applyBorder="1" applyAlignment="1">
      <alignment horizontal="center" vertical="center" wrapText="1"/>
    </xf>
    <xf numFmtId="0" fontId="5" fillId="0" borderId="56" xfId="0" applyNumberFormat="1" applyFont="1" applyFill="1" applyBorder="1" applyAlignment="1" applyProtection="1">
      <alignment horizontal="center" vertical="center" wrapText="1"/>
    </xf>
    <xf numFmtId="0" fontId="5" fillId="0" borderId="57" xfId="0" applyFont="1" applyBorder="1" applyAlignment="1">
      <alignment horizontal="center" vertical="center" wrapText="1"/>
    </xf>
    <xf numFmtId="0" fontId="5" fillId="0" borderId="19" xfId="0" applyNumberFormat="1" applyFont="1" applyFill="1" applyBorder="1" applyAlignment="1" applyProtection="1">
      <alignment horizontal="center" vertical="center" wrapText="1"/>
    </xf>
    <xf numFmtId="0" fontId="5" fillId="0" borderId="20" xfId="0" applyNumberFormat="1" applyFont="1" applyFill="1" applyBorder="1" applyAlignment="1" applyProtection="1">
      <alignment horizontal="center" vertical="center" wrapText="1"/>
    </xf>
    <xf numFmtId="0" fontId="5" fillId="0" borderId="21"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58" xfId="0" applyNumberFormat="1" applyFont="1" applyFill="1" applyBorder="1" applyAlignment="1" applyProtection="1">
      <alignment horizontal="center" vertical="center" wrapText="1"/>
    </xf>
    <xf numFmtId="0" fontId="5" fillId="0" borderId="18" xfId="0" applyFont="1" applyBorder="1" applyAlignment="1">
      <alignment horizontal="center" vertical="center" wrapText="1"/>
    </xf>
    <xf numFmtId="0" fontId="5" fillId="0" borderId="28" xfId="0" applyNumberFormat="1" applyFont="1" applyFill="1" applyBorder="1" applyAlignment="1" applyProtection="1">
      <alignment horizontal="center" vertical="center" wrapText="1"/>
    </xf>
    <xf numFmtId="0" fontId="5" fillId="0" borderId="29" xfId="0" applyFont="1" applyBorder="1" applyAlignment="1">
      <alignment horizontal="center" vertical="center" wrapText="1"/>
    </xf>
    <xf numFmtId="0" fontId="5" fillId="0" borderId="55" xfId="0" applyNumberFormat="1" applyFont="1" applyFill="1" applyBorder="1" applyAlignment="1" applyProtection="1">
      <alignment horizontal="center" vertical="center" wrapText="1"/>
    </xf>
    <xf numFmtId="0" fontId="5" fillId="0" borderId="56" xfId="0" applyFont="1" applyBorder="1" applyAlignment="1">
      <alignment horizontal="left" vertical="top" wrapText="1"/>
    </xf>
    <xf numFmtId="0" fontId="5" fillId="0" borderId="57" xfId="0" applyFont="1" applyBorder="1" applyAlignment="1">
      <alignment horizontal="left" vertical="top" wrapText="1"/>
    </xf>
    <xf numFmtId="180" fontId="10" fillId="0" borderId="59" xfId="0" applyNumberFormat="1" applyFont="1" applyBorder="1" applyAlignment="1">
      <alignment horizontal="center" vertical="center" wrapText="1"/>
    </xf>
    <xf numFmtId="180" fontId="10" fillId="0" borderId="60" xfId="0" applyNumberFormat="1" applyFont="1" applyBorder="1" applyAlignment="1">
      <alignment horizontal="center" vertical="center" wrapText="1"/>
    </xf>
    <xf numFmtId="0" fontId="10" fillId="0" borderId="61" xfId="0" applyFont="1" applyBorder="1" applyAlignment="1">
      <alignment horizontal="center" vertical="center" wrapText="1"/>
    </xf>
    <xf numFmtId="0" fontId="10" fillId="0" borderId="62" xfId="0" applyFont="1" applyBorder="1" applyAlignment="1">
      <alignment horizontal="center" vertical="center" wrapText="1"/>
    </xf>
    <xf numFmtId="0" fontId="5" fillId="0" borderId="63" xfId="0" applyFont="1" applyBorder="1" applyAlignment="1">
      <alignment horizontal="center" vertical="center" wrapText="1"/>
    </xf>
    <xf numFmtId="0" fontId="5" fillId="0" borderId="64" xfId="0" applyFont="1" applyBorder="1" applyAlignment="1">
      <alignment horizontal="center" vertical="center" wrapText="1"/>
    </xf>
    <xf numFmtId="0" fontId="5" fillId="0" borderId="64" xfId="0" applyNumberFormat="1" applyFont="1" applyFill="1" applyBorder="1" applyAlignment="1" applyProtection="1">
      <alignment horizontal="center" vertical="center" wrapText="1"/>
    </xf>
    <xf numFmtId="0" fontId="5" fillId="0" borderId="65" xfId="0" applyFont="1" applyBorder="1" applyAlignment="1">
      <alignment horizontal="center" vertical="center" wrapText="1"/>
    </xf>
    <xf numFmtId="0" fontId="5" fillId="0" borderId="64" xfId="0" applyFont="1" applyFill="1" applyBorder="1" applyAlignment="1" applyProtection="1">
      <alignment horizontal="center" vertical="center" wrapText="1"/>
    </xf>
    <xf numFmtId="0" fontId="5" fillId="0" borderId="66" xfId="0" applyFont="1" applyBorder="1" applyAlignment="1">
      <alignment horizontal="center" vertical="center" wrapText="1"/>
    </xf>
    <xf numFmtId="0" fontId="5" fillId="0" borderId="67" xfId="0" applyFont="1" applyBorder="1" applyAlignment="1">
      <alignment horizontal="center" vertical="center" wrapText="1"/>
    </xf>
    <xf numFmtId="0" fontId="5" fillId="0" borderId="68" xfId="0" applyNumberFormat="1" applyFont="1" applyFill="1" applyBorder="1" applyAlignment="1" applyProtection="1">
      <alignment horizontal="center" vertical="center" wrapText="1"/>
    </xf>
    <xf numFmtId="0" fontId="5" fillId="0" borderId="69" xfId="0" applyFont="1" applyFill="1" applyBorder="1" applyAlignment="1" applyProtection="1">
      <alignment horizontal="center" vertical="center" wrapText="1"/>
    </xf>
    <xf numFmtId="0" fontId="5" fillId="0" borderId="70" xfId="0" applyFont="1" applyBorder="1" applyAlignment="1">
      <alignment horizontal="center" vertical="center" wrapText="1"/>
    </xf>
    <xf numFmtId="0" fontId="5" fillId="0" borderId="71" xfId="0" applyNumberFormat="1" applyFont="1" applyFill="1" applyBorder="1" applyAlignment="1" applyProtection="1">
      <alignment horizontal="center" vertical="center" wrapText="1"/>
    </xf>
    <xf numFmtId="0" fontId="5" fillId="0" borderId="72" xfId="0" applyNumberFormat="1" applyFont="1" applyFill="1" applyBorder="1" applyAlignment="1" applyProtection="1">
      <alignment horizontal="center" vertical="center" wrapText="1"/>
    </xf>
    <xf numFmtId="0" fontId="5" fillId="0" borderId="73" xfId="0" applyNumberFormat="1" applyFont="1" applyFill="1" applyBorder="1" applyAlignment="1" applyProtection="1">
      <alignment horizontal="center" vertical="center" wrapText="1"/>
    </xf>
    <xf numFmtId="0" fontId="5" fillId="0" borderId="72" xfId="0" applyFont="1" applyBorder="1" applyAlignment="1">
      <alignment horizontal="center" vertical="center" wrapText="1"/>
    </xf>
    <xf numFmtId="0" fontId="13" fillId="0" borderId="27" xfId="0" applyFont="1" applyBorder="1" applyAlignment="1">
      <alignment horizontal="center" vertical="center" wrapText="1"/>
    </xf>
    <xf numFmtId="0" fontId="13" fillId="0" borderId="74" xfId="0" applyFont="1" applyBorder="1" applyAlignment="1">
      <alignment horizontal="center" vertical="center" wrapText="1"/>
    </xf>
    <xf numFmtId="0" fontId="13" fillId="0" borderId="26" xfId="0" applyFont="1" applyBorder="1" applyAlignment="1">
      <alignment horizontal="center" vertical="center" wrapText="1"/>
    </xf>
    <xf numFmtId="180" fontId="10" fillId="0" borderId="75" xfId="0" applyNumberFormat="1" applyFont="1" applyBorder="1" applyAlignment="1">
      <alignment horizontal="center" vertical="center" wrapText="1"/>
    </xf>
    <xf numFmtId="180" fontId="10" fillId="0" borderId="76" xfId="0" applyNumberFormat="1" applyFont="1" applyBorder="1" applyAlignment="1">
      <alignment horizontal="center" vertical="center" wrapText="1"/>
    </xf>
    <xf numFmtId="0" fontId="11" fillId="0" borderId="77" xfId="0" applyFont="1" applyBorder="1" applyAlignment="1">
      <alignment horizontal="left"/>
    </xf>
    <xf numFmtId="0" fontId="11" fillId="0" borderId="78" xfId="0" applyFont="1" applyBorder="1" applyAlignment="1">
      <alignment horizontal="left"/>
    </xf>
    <xf numFmtId="0" fontId="11" fillId="0" borderId="79" xfId="0" applyFont="1" applyBorder="1" applyAlignment="1">
      <alignment horizontal="left"/>
    </xf>
    <xf numFmtId="0" fontId="15" fillId="0" borderId="80" xfId="0" applyFont="1" applyBorder="1"/>
    <xf numFmtId="0" fontId="5" fillId="0" borderId="81" xfId="0" applyFont="1" applyBorder="1" applyAlignment="1">
      <alignment horizontal="center" vertical="center" wrapText="1"/>
    </xf>
    <xf numFmtId="0" fontId="5" fillId="0" borderId="76" xfId="0" applyFont="1" applyBorder="1" applyAlignment="1">
      <alignment horizontal="center" vertical="center" wrapText="1"/>
    </xf>
    <xf numFmtId="0" fontId="5" fillId="0" borderId="82" xfId="0" applyNumberFormat="1" applyFont="1" applyFill="1" applyBorder="1" applyAlignment="1" applyProtection="1">
      <alignment horizontal="center" vertical="center" wrapText="1"/>
    </xf>
    <xf numFmtId="0" fontId="5" fillId="0" borderId="83" xfId="0" applyFont="1" applyBorder="1" applyAlignment="1">
      <alignment horizontal="center" vertical="center" wrapText="1"/>
    </xf>
    <xf numFmtId="0" fontId="5" fillId="0" borderId="84" xfId="0" applyFont="1" applyBorder="1" applyAlignment="1">
      <alignment horizontal="center" vertical="center" wrapText="1"/>
    </xf>
    <xf numFmtId="0" fontId="5" fillId="0" borderId="76" xfId="0" applyNumberFormat="1" applyFont="1" applyFill="1" applyBorder="1" applyAlignment="1" applyProtection="1">
      <alignment horizontal="center" vertical="center" wrapText="1"/>
    </xf>
    <xf numFmtId="0" fontId="5" fillId="0" borderId="85" xfId="0" applyNumberFormat="1" applyFont="1" applyFill="1" applyBorder="1" applyAlignment="1" applyProtection="1">
      <alignment horizontal="center" vertical="center" wrapText="1"/>
    </xf>
    <xf numFmtId="0" fontId="5" fillId="0" borderId="75" xfId="0" applyFont="1" applyBorder="1" applyAlignment="1">
      <alignment horizontal="center" vertical="center" wrapText="1"/>
    </xf>
    <xf numFmtId="0" fontId="5" fillId="0" borderId="86" xfId="0" applyNumberFormat="1" applyFont="1" applyFill="1" applyBorder="1" applyAlignment="1" applyProtection="1">
      <alignment horizontal="center" vertical="center" wrapText="1"/>
    </xf>
    <xf numFmtId="0" fontId="5" fillId="0" borderId="87" xfId="0" applyFont="1" applyBorder="1" applyAlignment="1">
      <alignment horizontal="center" vertical="center" wrapText="1"/>
    </xf>
    <xf numFmtId="180" fontId="10" fillId="0" borderId="12" xfId="0" applyNumberFormat="1" applyFont="1" applyBorder="1" applyAlignment="1">
      <alignment horizontal="center" vertical="center" wrapText="1"/>
    </xf>
    <xf numFmtId="180" fontId="10" fillId="0" borderId="3" xfId="0" applyNumberFormat="1" applyFont="1" applyBorder="1" applyAlignment="1">
      <alignment horizontal="center" vertical="center" wrapText="1"/>
    </xf>
    <xf numFmtId="0" fontId="11" fillId="0" borderId="88" xfId="0" applyFont="1" applyBorder="1" applyAlignment="1">
      <alignment horizontal="left"/>
    </xf>
    <xf numFmtId="0" fontId="15" fillId="0" borderId="48" xfId="0" applyFont="1" applyBorder="1"/>
    <xf numFmtId="0" fontId="5" fillId="0" borderId="43" xfId="0" applyFont="1" applyBorder="1" applyAlignment="1">
      <alignment horizontal="center" vertical="center" wrapText="1"/>
    </xf>
    <xf numFmtId="0" fontId="5" fillId="0" borderId="44" xfId="0" applyFont="1" applyBorder="1" applyAlignment="1">
      <alignment horizontal="center" vertical="center" wrapText="1"/>
    </xf>
    <xf numFmtId="0" fontId="11" fillId="0" borderId="89" xfId="0" applyFont="1" applyBorder="1" applyAlignment="1">
      <alignment horizontal="left"/>
    </xf>
    <xf numFmtId="0" fontId="11" fillId="0" borderId="90" xfId="0" applyFont="1" applyBorder="1" applyAlignment="1">
      <alignment horizontal="left"/>
    </xf>
    <xf numFmtId="0" fontId="11" fillId="0" borderId="91" xfId="0" applyFont="1" applyBorder="1" applyAlignment="1">
      <alignment horizontal="left"/>
    </xf>
    <xf numFmtId="0" fontId="2" fillId="0" borderId="92" xfId="0" applyNumberFormat="1" applyFont="1" applyFill="1" applyBorder="1" applyAlignment="1">
      <alignment horizontal="left"/>
    </xf>
    <xf numFmtId="0" fontId="2" fillId="0" borderId="93" xfId="0" applyNumberFormat="1" applyFont="1" applyFill="1" applyBorder="1" applyAlignment="1">
      <alignment horizontal="left"/>
    </xf>
    <xf numFmtId="0" fontId="2" fillId="0" borderId="94" xfId="0" applyNumberFormat="1" applyFont="1" applyFill="1" applyBorder="1" applyAlignment="1">
      <alignment horizontal="left"/>
    </xf>
    <xf numFmtId="0" fontId="16" fillId="0" borderId="13" xfId="0" applyNumberFormat="1" applyFont="1" applyFill="1" applyBorder="1" applyAlignment="1" applyProtection="1">
      <alignment horizontal="center" vertical="center" wrapText="1"/>
    </xf>
    <xf numFmtId="0" fontId="10" fillId="0" borderId="95" xfId="0" applyFont="1" applyBorder="1" applyAlignment="1">
      <alignment horizontal="center" vertical="center" wrapText="1"/>
    </xf>
    <xf numFmtId="0" fontId="10" fillId="0" borderId="96" xfId="0" applyFont="1" applyBorder="1" applyAlignment="1">
      <alignment horizontal="center" vertical="center" wrapText="1"/>
    </xf>
    <xf numFmtId="0" fontId="5" fillId="0" borderId="59" xfId="0" applyFont="1" applyBorder="1" applyAlignment="1">
      <alignment horizontal="center" vertical="center" wrapText="1"/>
    </xf>
    <xf numFmtId="0" fontId="5" fillId="0" borderId="97" xfId="0" applyFont="1" applyBorder="1" applyAlignment="1">
      <alignment horizontal="center" vertical="center" wrapText="1"/>
    </xf>
    <xf numFmtId="0" fontId="5" fillId="0" borderId="98" xfId="0" applyNumberFormat="1" applyFont="1" applyFill="1" applyBorder="1" applyAlignment="1" applyProtection="1">
      <alignment horizontal="center" vertical="center" wrapText="1"/>
    </xf>
    <xf numFmtId="0" fontId="5" fillId="0" borderId="99"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99" xfId="0" applyNumberFormat="1" applyFont="1" applyFill="1" applyBorder="1" applyAlignment="1" applyProtection="1">
      <alignment horizontal="center" vertical="center" wrapText="1"/>
    </xf>
    <xf numFmtId="0" fontId="5" fillId="0" borderId="97" xfId="0" applyNumberFormat="1" applyFont="1" applyFill="1" applyBorder="1" applyAlignment="1" applyProtection="1">
      <alignment horizontal="center" vertical="center" wrapText="1"/>
    </xf>
    <xf numFmtId="0" fontId="5" fillId="0" borderId="100" xfId="0" applyNumberFormat="1" applyFont="1" applyFill="1" applyBorder="1" applyAlignment="1" applyProtection="1">
      <alignment horizontal="center" vertical="center" wrapText="1"/>
    </xf>
    <xf numFmtId="0" fontId="5" fillId="0" borderId="101" xfId="0" applyFont="1" applyBorder="1" applyAlignment="1">
      <alignment horizontal="center" vertical="center" wrapText="1"/>
    </xf>
    <xf numFmtId="0" fontId="5" fillId="0" borderId="102" xfId="0" applyNumberFormat="1" applyFont="1" applyFill="1" applyBorder="1" applyAlignment="1" applyProtection="1">
      <alignment horizontal="center" vertical="center" wrapText="1"/>
    </xf>
    <xf numFmtId="180" fontId="10" fillId="0" borderId="26" xfId="0" applyNumberFormat="1" applyFont="1" applyBorder="1" applyAlignment="1">
      <alignment horizontal="center" vertical="center" wrapText="1"/>
    </xf>
    <xf numFmtId="180" fontId="10" fillId="0" borderId="25" xfId="0" applyNumberFormat="1" applyFont="1" applyBorder="1" applyAlignment="1">
      <alignment horizontal="center" vertical="center" wrapText="1"/>
    </xf>
    <xf numFmtId="0" fontId="10" fillId="0" borderId="24" xfId="0" applyFont="1" applyBorder="1" applyAlignment="1">
      <alignment horizontal="center" vertical="center" wrapText="1"/>
    </xf>
    <xf numFmtId="0" fontId="10" fillId="0" borderId="27" xfId="0" applyFont="1" applyBorder="1" applyAlignment="1">
      <alignment horizontal="center" vertical="center" wrapText="1"/>
    </xf>
    <xf numFmtId="0" fontId="16" fillId="0" borderId="103" xfId="0" applyFont="1" applyBorder="1" applyAlignment="1">
      <alignment horizontal="center" vertical="center" wrapText="1"/>
    </xf>
    <xf numFmtId="0" fontId="16" fillId="0" borderId="67" xfId="0" applyFont="1" applyBorder="1" applyAlignment="1">
      <alignment horizontal="center" vertical="center" wrapText="1"/>
    </xf>
    <xf numFmtId="0" fontId="16" fillId="0" borderId="69" xfId="0" applyFont="1" applyFill="1" applyBorder="1" applyAlignment="1" applyProtection="1">
      <alignment horizontal="center" vertical="center" wrapText="1"/>
    </xf>
    <xf numFmtId="0" fontId="16" fillId="0" borderId="66" xfId="0" applyFont="1" applyBorder="1" applyAlignment="1">
      <alignment horizontal="center" vertical="center" wrapText="1"/>
    </xf>
    <xf numFmtId="0" fontId="16" fillId="0" borderId="72" xfId="0" applyFont="1" applyBorder="1" applyAlignment="1">
      <alignment horizontal="center" vertical="center" wrapText="1"/>
    </xf>
    <xf numFmtId="0" fontId="17" fillId="0" borderId="104" xfId="0" applyNumberFormat="1" applyFont="1" applyFill="1" applyBorder="1" applyAlignment="1">
      <alignment horizontal="center" vertical="center" wrapText="1"/>
    </xf>
    <xf numFmtId="0" fontId="16" fillId="0" borderId="105" xfId="0" applyFont="1" applyBorder="1" applyAlignment="1">
      <alignment horizontal="center" vertical="center" wrapText="1"/>
    </xf>
    <xf numFmtId="0" fontId="16" fillId="0" borderId="67" xfId="0" applyNumberFormat="1" applyFont="1" applyFill="1" applyBorder="1" applyAlignment="1" applyProtection="1">
      <alignment horizontal="center" vertical="center" wrapText="1"/>
    </xf>
    <xf numFmtId="0" fontId="16" fillId="0" borderId="70" xfId="0" applyFont="1" applyBorder="1" applyAlignment="1">
      <alignment horizontal="center" vertical="center" wrapText="1"/>
    </xf>
    <xf numFmtId="0" fontId="16" fillId="0" borderId="66" xfId="0" applyNumberFormat="1" applyFont="1" applyFill="1" applyBorder="1" applyAlignment="1" applyProtection="1">
      <alignment horizontal="center" vertical="center" wrapText="1"/>
    </xf>
    <xf numFmtId="0" fontId="16" fillId="0" borderId="72" xfId="0" applyNumberFormat="1" applyFont="1" applyFill="1" applyBorder="1" applyAlignment="1" applyProtection="1">
      <alignment horizontal="center" vertical="center" wrapText="1"/>
    </xf>
    <xf numFmtId="0" fontId="5" fillId="0" borderId="66" xfId="0" applyFont="1" applyBorder="1" applyAlignment="1">
      <alignment horizontal="left" vertical="top" wrapText="1"/>
    </xf>
    <xf numFmtId="0" fontId="5" fillId="0" borderId="105" xfId="0" applyFont="1" applyBorder="1" applyAlignment="1">
      <alignment horizontal="left" vertical="top" wrapText="1"/>
    </xf>
    <xf numFmtId="0" fontId="8" fillId="0" borderId="0" xfId="0" applyNumberFormat="1" applyFont="1" applyFill="1" applyBorder="1" applyAlignment="1" applyProtection="1">
      <alignment horizontal="left" vertical="center" wrapText="1"/>
    </xf>
    <xf numFmtId="0" fontId="9" fillId="0" borderId="106" xfId="0" applyFont="1" applyBorder="1" applyAlignment="1">
      <alignment horizontal="left" vertical="center" wrapText="1"/>
    </xf>
    <xf numFmtId="0" fontId="9" fillId="0" borderId="0" xfId="0" applyFont="1" applyBorder="1" applyAlignment="1">
      <alignment horizontal="left" vertical="center" wrapText="1"/>
    </xf>
    <xf numFmtId="0" fontId="9" fillId="0" borderId="107" xfId="0" applyFont="1" applyBorder="1" applyAlignment="1">
      <alignment horizontal="left" vertical="center" wrapText="1"/>
    </xf>
    <xf numFmtId="0" fontId="8" fillId="0" borderId="4" xfId="0" applyFont="1" applyBorder="1" applyAlignment="1">
      <alignment horizontal="center" vertical="top" wrapText="1"/>
    </xf>
    <xf numFmtId="0" fontId="8" fillId="0" borderId="6" xfId="0" applyFont="1" applyBorder="1" applyAlignment="1">
      <alignment horizontal="center" vertical="top" wrapText="1"/>
    </xf>
    <xf numFmtId="0" fontId="8" fillId="0" borderId="5" xfId="0" applyFont="1" applyBorder="1" applyAlignment="1">
      <alignment horizontal="center" vertical="top" wrapText="1"/>
    </xf>
    <xf numFmtId="0" fontId="8" fillId="0" borderId="108" xfId="0" applyFont="1" applyBorder="1" applyAlignment="1">
      <alignment horizontal="center" vertical="top" wrapText="1"/>
    </xf>
    <xf numFmtId="0" fontId="4" fillId="0" borderId="0" xfId="0" applyNumberFormat="1" applyFont="1" applyFill="1" applyBorder="1" applyAlignment="1" applyProtection="1">
      <alignment horizontal="left" vertical="top" wrapText="1"/>
    </xf>
    <xf numFmtId="0" fontId="18" fillId="0" borderId="106" xfId="0" applyFont="1" applyBorder="1" applyAlignment="1">
      <alignment horizontal="center" vertical="top" wrapText="1"/>
    </xf>
    <xf numFmtId="0" fontId="18" fillId="0" borderId="0" xfId="0" applyFont="1" applyBorder="1" applyAlignment="1">
      <alignment horizontal="center" vertical="top" wrapText="1"/>
    </xf>
    <xf numFmtId="0" fontId="18" fillId="0" borderId="107" xfId="0" applyFont="1" applyBorder="1" applyAlignment="1">
      <alignment horizontal="center" vertical="top" wrapText="1"/>
    </xf>
    <xf numFmtId="0" fontId="8" fillId="0" borderId="10" xfId="0" applyFont="1" applyBorder="1" applyAlignment="1">
      <alignment horizontal="center" vertical="top" wrapText="1"/>
    </xf>
    <xf numFmtId="0" fontId="8" fillId="0" borderId="0" xfId="0" applyFont="1" applyBorder="1" applyAlignment="1">
      <alignment horizontal="center" vertical="top" wrapText="1"/>
    </xf>
    <xf numFmtId="0" fontId="8" fillId="0" borderId="11" xfId="0" applyFont="1" applyBorder="1" applyAlignment="1">
      <alignment horizontal="center" vertical="top" wrapText="1"/>
    </xf>
    <xf numFmtId="0" fontId="8" fillId="0" borderId="109" xfId="0" applyFont="1" applyBorder="1" applyAlignment="1">
      <alignment horizontal="center" vertical="top" wrapText="1"/>
    </xf>
    <xf numFmtId="0" fontId="9" fillId="0" borderId="87" xfId="0" applyFont="1" applyBorder="1" applyAlignment="1">
      <alignment horizontal="center" vertical="center" wrapText="1"/>
    </xf>
    <xf numFmtId="0" fontId="9" fillId="0" borderId="110" xfId="0" applyFont="1" applyBorder="1" applyAlignment="1">
      <alignment horizontal="center" vertical="center" wrapText="1"/>
    </xf>
    <xf numFmtId="0" fontId="8" fillId="0" borderId="15" xfId="0" applyFont="1" applyBorder="1" applyAlignment="1">
      <alignment horizontal="center" vertical="top" wrapText="1"/>
    </xf>
    <xf numFmtId="0" fontId="8" fillId="0" borderId="16" xfId="0" applyFont="1" applyBorder="1" applyAlignment="1">
      <alignment horizontal="center" vertical="top" wrapText="1"/>
    </xf>
    <xf numFmtId="0" fontId="8" fillId="0" borderId="17" xfId="0" applyFont="1" applyBorder="1" applyAlignment="1">
      <alignment horizontal="center" vertical="top" wrapText="1"/>
    </xf>
    <xf numFmtId="0" fontId="8" fillId="0" borderId="15" xfId="0" applyFont="1" applyBorder="1" applyAlignment="1">
      <alignment horizontal="center" vertical="center" wrapText="1"/>
    </xf>
    <xf numFmtId="0" fontId="8" fillId="0" borderId="111" xfId="0" applyFont="1" applyBorder="1" applyAlignment="1">
      <alignment horizontal="center" vertical="top" wrapText="1"/>
    </xf>
    <xf numFmtId="0" fontId="9" fillId="0" borderId="27" xfId="0" applyFont="1" applyBorder="1" applyAlignment="1">
      <alignment horizontal="center" vertical="center" wrapText="1"/>
    </xf>
    <xf numFmtId="0" fontId="9" fillId="0" borderId="25" xfId="0" applyFont="1" applyBorder="1" applyAlignment="1">
      <alignment horizontal="center" vertical="center" wrapText="1"/>
    </xf>
    <xf numFmtId="0" fontId="9" fillId="0" borderId="23" xfId="0" applyNumberFormat="1" applyFont="1" applyFill="1" applyBorder="1" applyAlignment="1" applyProtection="1">
      <alignment horizontal="center" vertical="center" wrapText="1"/>
    </xf>
    <xf numFmtId="0" fontId="9" fillId="0" borderId="24" xfId="0" applyFont="1" applyBorder="1" applyAlignment="1">
      <alignment horizontal="center" vertical="center" wrapText="1"/>
    </xf>
    <xf numFmtId="0" fontId="9" fillId="0" borderId="74" xfId="0" applyFont="1" applyBorder="1" applyAlignment="1">
      <alignment horizontal="center" vertical="center" wrapText="1"/>
    </xf>
    <xf numFmtId="0" fontId="4" fillId="0" borderId="10" xfId="0" applyFont="1" applyBorder="1" applyAlignment="1">
      <alignment horizontal="left" vertical="center" wrapText="1"/>
    </xf>
    <xf numFmtId="0" fontId="4" fillId="0" borderId="0" xfId="0" applyFont="1" applyBorder="1" applyAlignment="1">
      <alignment horizontal="left" vertical="center" wrapText="1"/>
    </xf>
    <xf numFmtId="0" fontId="4" fillId="0" borderId="107" xfId="0" applyFont="1" applyBorder="1" applyAlignment="1">
      <alignment horizontal="left" vertical="center" wrapText="1"/>
    </xf>
    <xf numFmtId="0" fontId="10" fillId="2" borderId="21" xfId="0" applyNumberFormat="1" applyFont="1" applyFill="1" applyBorder="1" applyAlignment="1">
      <alignment horizontal="center" vertical="center" wrapText="1"/>
    </xf>
    <xf numFmtId="0" fontId="10" fillId="2" borderId="19" xfId="0" applyNumberFormat="1"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0" fillId="2" borderId="29" xfId="0" applyNumberFormat="1" applyFont="1" applyFill="1" applyBorder="1" applyAlignment="1">
      <alignment horizontal="center" vertical="center" wrapText="1"/>
    </xf>
    <xf numFmtId="0" fontId="10" fillId="2" borderId="101" xfId="0" applyNumberFormat="1" applyFont="1" applyFill="1" applyBorder="1" applyAlignment="1">
      <alignment horizontal="center" vertical="center" wrapText="1"/>
    </xf>
    <xf numFmtId="0" fontId="10" fillId="2" borderId="106" xfId="0" applyNumberFormat="1" applyFont="1" applyFill="1" applyBorder="1" applyAlignment="1">
      <alignment horizontal="center" vertical="center" wrapText="1"/>
    </xf>
    <xf numFmtId="0" fontId="10" fillId="2" borderId="107" xfId="0" applyNumberFormat="1" applyFont="1" applyFill="1" applyBorder="1" applyAlignment="1">
      <alignment horizontal="center" vertical="center" wrapText="1"/>
    </xf>
    <xf numFmtId="0" fontId="10" fillId="2" borderId="112" xfId="0" applyFont="1" applyFill="1" applyBorder="1" applyAlignment="1">
      <alignment horizontal="center" vertical="center" wrapText="1"/>
    </xf>
    <xf numFmtId="0" fontId="10" fillId="2" borderId="11" xfId="0" applyNumberFormat="1" applyFont="1" applyFill="1" applyBorder="1" applyAlignment="1">
      <alignment horizontal="center" vertical="center" wrapText="1"/>
    </xf>
    <xf numFmtId="0" fontId="4" fillId="0" borderId="0" xfId="0" applyNumberFormat="1" applyFont="1" applyFill="1" applyBorder="1" applyAlignment="1" applyProtection="1">
      <alignment horizontal="left" vertical="center" wrapText="1"/>
    </xf>
    <xf numFmtId="0" fontId="4" fillId="0" borderId="87" xfId="0" applyFont="1" applyBorder="1" applyAlignment="1">
      <alignment horizontal="center" vertical="center" wrapText="1"/>
    </xf>
    <xf numFmtId="0" fontId="4" fillId="0" borderId="0" xfId="0" applyNumberFormat="1" applyFont="1" applyFill="1" applyBorder="1" applyAlignment="1" applyProtection="1">
      <alignment horizontal="center" vertical="center" wrapText="1"/>
    </xf>
    <xf numFmtId="0" fontId="18" fillId="0" borderId="106" xfId="0" applyFont="1" applyBorder="1" applyAlignment="1">
      <alignment horizontal="left" vertical="top" wrapText="1"/>
    </xf>
    <xf numFmtId="0" fontId="18" fillId="0" borderId="0" xfId="0" applyFont="1" applyBorder="1" applyAlignment="1">
      <alignment horizontal="left" vertical="top" wrapText="1"/>
    </xf>
    <xf numFmtId="0" fontId="18" fillId="0" borderId="107" xfId="0" applyFont="1" applyBorder="1" applyAlignment="1">
      <alignment horizontal="left" vertical="top" wrapText="1"/>
    </xf>
    <xf numFmtId="0" fontId="4" fillId="0" borderId="75" xfId="0" applyFont="1" applyBorder="1" applyAlignment="1">
      <alignment horizontal="left" vertical="center" wrapText="1"/>
    </xf>
    <xf numFmtId="0" fontId="4" fillId="0" borderId="87" xfId="0" applyFont="1" applyBorder="1" applyAlignment="1">
      <alignment horizontal="left" vertical="center" wrapText="1"/>
    </xf>
    <xf numFmtId="0" fontId="4" fillId="0" borderId="76" xfId="0" applyFont="1" applyBorder="1" applyAlignment="1">
      <alignment horizontal="left" vertical="center" wrapText="1"/>
    </xf>
    <xf numFmtId="0" fontId="10" fillId="2" borderId="83" xfId="0" applyNumberFormat="1" applyFont="1" applyFill="1" applyBorder="1" applyAlignment="1">
      <alignment horizontal="center" vertical="center" wrapText="1"/>
    </xf>
    <xf numFmtId="0" fontId="10" fillId="2" borderId="76" xfId="0" applyNumberFormat="1" applyFont="1" applyFill="1" applyBorder="1" applyAlignment="1">
      <alignment horizontal="center" vertical="center" wrapText="1"/>
    </xf>
    <xf numFmtId="0" fontId="10" fillId="2" borderId="82" xfId="0" applyFont="1" applyFill="1" applyBorder="1" applyAlignment="1">
      <alignment horizontal="center" vertical="center" wrapText="1"/>
    </xf>
    <xf numFmtId="0" fontId="10" fillId="2" borderId="87" xfId="0" applyNumberFormat="1" applyFont="1" applyFill="1" applyBorder="1" applyAlignment="1">
      <alignment horizontal="center" vertical="center" wrapText="1"/>
    </xf>
    <xf numFmtId="0" fontId="10" fillId="2" borderId="110" xfId="0" applyNumberFormat="1" applyFont="1" applyFill="1" applyBorder="1" applyAlignment="1">
      <alignment horizontal="center" vertical="center" wrapText="1"/>
    </xf>
    <xf numFmtId="0" fontId="3" fillId="0" borderId="10" xfId="0" applyFont="1" applyBorder="1" applyAlignment="1">
      <alignment horizontal="right" vertical="center" wrapText="1"/>
    </xf>
    <xf numFmtId="0" fontId="3" fillId="0" borderId="0" xfId="0" applyFont="1" applyBorder="1" applyAlignment="1">
      <alignment horizontal="right" vertical="center" wrapText="1"/>
    </xf>
    <xf numFmtId="0" fontId="3" fillId="0" borderId="113" xfId="0" applyFont="1" applyBorder="1" applyAlignment="1">
      <alignment horizontal="right" vertical="center" wrapText="1"/>
    </xf>
    <xf numFmtId="0" fontId="19" fillId="0" borderId="0" xfId="0" applyFont="1" applyBorder="1" applyAlignment="1">
      <alignment horizontal="left" vertical="center" wrapText="1"/>
    </xf>
    <xf numFmtId="0" fontId="19" fillId="0" borderId="107" xfId="0" applyFont="1" applyBorder="1" applyAlignment="1">
      <alignment horizontal="left" vertical="center" wrapText="1"/>
    </xf>
    <xf numFmtId="0" fontId="10" fillId="2" borderId="21"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29" xfId="0" applyFont="1" applyFill="1" applyBorder="1" applyAlignment="1">
      <alignment horizontal="center" vertical="center" wrapText="1"/>
    </xf>
    <xf numFmtId="0" fontId="10" fillId="2" borderId="101" xfId="0" applyFont="1" applyFill="1" applyBorder="1" applyAlignment="1">
      <alignment horizontal="center" vertical="center" wrapText="1"/>
    </xf>
    <xf numFmtId="0" fontId="4" fillId="0" borderId="0" xfId="0" applyFont="1" applyBorder="1" applyAlignment="1">
      <alignment horizontal="center" vertical="center" wrapText="1"/>
    </xf>
    <xf numFmtId="0" fontId="10" fillId="2" borderId="106" xfId="0" applyFont="1" applyFill="1" applyBorder="1" applyAlignment="1">
      <alignment horizontal="center" vertical="center" wrapText="1"/>
    </xf>
    <xf numFmtId="0" fontId="10" fillId="2" borderId="107"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Border="1" applyAlignment="1">
      <alignment horizontal="center" vertical="center" wrapText="1"/>
    </xf>
    <xf numFmtId="0" fontId="3" fillId="0" borderId="107" xfId="0" applyFont="1" applyBorder="1" applyAlignment="1">
      <alignment horizontal="center" vertical="center" wrapText="1"/>
    </xf>
    <xf numFmtId="0" fontId="3" fillId="0" borderId="75" xfId="0" applyFont="1" applyBorder="1" applyAlignment="1">
      <alignment horizontal="center" vertical="center" wrapText="1"/>
    </xf>
    <xf numFmtId="0" fontId="3" fillId="0" borderId="87" xfId="0" applyFont="1" applyBorder="1" applyAlignment="1">
      <alignment horizontal="center" vertical="center" wrapText="1"/>
    </xf>
    <xf numFmtId="0" fontId="3" fillId="0" borderId="76" xfId="0" applyFont="1" applyBorder="1" applyAlignment="1">
      <alignment horizontal="center" vertical="center" wrapText="1"/>
    </xf>
    <xf numFmtId="0" fontId="10" fillId="2" borderId="83" xfId="0" applyFont="1" applyFill="1" applyBorder="1" applyAlignment="1">
      <alignment horizontal="center" vertical="center" wrapText="1"/>
    </xf>
    <xf numFmtId="0" fontId="10" fillId="2" borderId="76" xfId="0" applyFont="1" applyFill="1" applyBorder="1" applyAlignment="1">
      <alignment horizontal="center" vertical="center" wrapText="1"/>
    </xf>
    <xf numFmtId="0" fontId="10" fillId="2" borderId="87" xfId="0" applyFont="1" applyFill="1" applyBorder="1" applyAlignment="1">
      <alignment horizontal="center" vertical="center" wrapText="1"/>
    </xf>
    <xf numFmtId="0" fontId="10" fillId="2" borderId="110" xfId="0" applyFont="1" applyFill="1" applyBorder="1" applyAlignment="1">
      <alignment horizontal="center" vertical="center" wrapText="1"/>
    </xf>
    <xf numFmtId="0" fontId="3" fillId="0" borderId="18" xfId="0" applyFont="1" applyBorder="1" applyAlignment="1">
      <alignment horizontal="center" wrapText="1"/>
    </xf>
    <xf numFmtId="0" fontId="3" fillId="0" borderId="29" xfId="0" applyFont="1" applyBorder="1" applyAlignment="1">
      <alignment horizontal="center" wrapText="1"/>
    </xf>
    <xf numFmtId="0" fontId="3" fillId="0" borderId="19" xfId="0" applyFont="1" applyBorder="1" applyAlignment="1">
      <alignment horizontal="center" wrapText="1"/>
    </xf>
    <xf numFmtId="1" fontId="18" fillId="0" borderId="21" xfId="0" applyNumberFormat="1" applyFont="1" applyBorder="1" applyAlignment="1">
      <alignment horizontal="center" vertical="center" wrapText="1"/>
    </xf>
    <xf numFmtId="1" fontId="18" fillId="0" borderId="19" xfId="0" applyNumberFormat="1" applyFont="1" applyBorder="1" applyAlignment="1">
      <alignment horizontal="center" vertical="center" wrapText="1"/>
    </xf>
    <xf numFmtId="0" fontId="18" fillId="0" borderId="20" xfId="0" applyFont="1" applyBorder="1" applyAlignment="1">
      <alignment horizontal="center" vertical="center" wrapText="1"/>
    </xf>
    <xf numFmtId="0" fontId="18" fillId="0" borderId="21" xfId="0" applyNumberFormat="1" applyFont="1" applyBorder="1" applyAlignment="1">
      <alignment horizontal="center" vertical="center" wrapText="1"/>
    </xf>
    <xf numFmtId="0" fontId="18" fillId="0" borderId="29" xfId="0" applyNumberFormat="1" applyFont="1" applyBorder="1" applyAlignment="1">
      <alignment horizontal="center" vertical="center" wrapText="1"/>
    </xf>
    <xf numFmtId="0" fontId="18" fillId="0" borderId="101" xfId="0" applyNumberFormat="1" applyFont="1" applyBorder="1" applyAlignment="1">
      <alignment horizontal="center" vertical="center" wrapText="1"/>
    </xf>
    <xf numFmtId="0" fontId="3" fillId="0" borderId="10" xfId="0" applyFont="1" applyBorder="1" applyAlignment="1">
      <alignment horizontal="center" wrapText="1"/>
    </xf>
    <xf numFmtId="0" fontId="3" fillId="0" borderId="0" xfId="0" applyFont="1" applyBorder="1" applyAlignment="1">
      <alignment horizontal="center" wrapText="1"/>
    </xf>
    <xf numFmtId="0" fontId="3" fillId="0" borderId="107" xfId="0" applyFont="1" applyBorder="1" applyAlignment="1">
      <alignment horizontal="center" wrapText="1"/>
    </xf>
    <xf numFmtId="1" fontId="18" fillId="0" borderId="106" xfId="0" applyNumberFormat="1" applyFont="1" applyBorder="1" applyAlignment="1">
      <alignment horizontal="center" vertical="center" wrapText="1"/>
    </xf>
    <xf numFmtId="1" fontId="18" fillId="0" borderId="107" xfId="0" applyNumberFormat="1" applyFont="1" applyBorder="1" applyAlignment="1">
      <alignment horizontal="center" vertical="center" wrapText="1"/>
    </xf>
    <xf numFmtId="0" fontId="18" fillId="0" borderId="112" xfId="0" applyFont="1" applyBorder="1" applyAlignment="1">
      <alignment horizontal="center" vertical="center" wrapText="1"/>
    </xf>
    <xf numFmtId="0" fontId="18" fillId="0" borderId="106" xfId="0" applyNumberFormat="1" applyFont="1" applyBorder="1" applyAlignment="1">
      <alignment horizontal="center" vertical="center" wrapText="1"/>
    </xf>
    <xf numFmtId="0" fontId="2" fillId="0" borderId="0" xfId="0" applyNumberFormat="1" applyFont="1" applyFill="1" applyBorder="1" applyAlignment="1">
      <alignment horizontal="center"/>
    </xf>
    <xf numFmtId="0" fontId="18" fillId="0" borderId="11" xfId="0" applyNumberFormat="1" applyFont="1" applyBorder="1" applyAlignment="1">
      <alignment horizontal="center" vertical="center" wrapText="1"/>
    </xf>
    <xf numFmtId="0" fontId="19" fillId="0" borderId="10" xfId="0" applyFont="1" applyBorder="1" applyAlignment="1">
      <alignment horizontal="center" vertical="top" wrapText="1"/>
    </xf>
    <xf numFmtId="0" fontId="19" fillId="0" borderId="0" xfId="0" applyFont="1" applyBorder="1" applyAlignment="1">
      <alignment horizontal="center" vertical="top" wrapText="1"/>
    </xf>
    <xf numFmtId="0" fontId="19" fillId="0" borderId="107" xfId="0" applyFont="1" applyBorder="1" applyAlignment="1">
      <alignment horizontal="center" vertical="top" wrapText="1"/>
    </xf>
    <xf numFmtId="0" fontId="19" fillId="0" borderId="75" xfId="0" applyFont="1" applyBorder="1" applyAlignment="1">
      <alignment horizontal="center" vertical="top" wrapText="1"/>
    </xf>
    <xf numFmtId="0" fontId="19" fillId="0" borderId="87" xfId="0" applyFont="1" applyBorder="1" applyAlignment="1">
      <alignment horizontal="center" vertical="top" wrapText="1"/>
    </xf>
    <xf numFmtId="0" fontId="19" fillId="0" borderId="76" xfId="0" applyFont="1" applyBorder="1" applyAlignment="1">
      <alignment horizontal="center" vertical="top" wrapText="1"/>
    </xf>
    <xf numFmtId="1" fontId="18" fillId="0" borderId="83" xfId="0" applyNumberFormat="1" applyFont="1" applyBorder="1" applyAlignment="1">
      <alignment horizontal="center" vertical="center" wrapText="1"/>
    </xf>
    <xf numFmtId="1" fontId="18" fillId="0" borderId="76" xfId="0" applyNumberFormat="1" applyFont="1" applyBorder="1" applyAlignment="1">
      <alignment horizontal="center" vertical="center" wrapText="1"/>
    </xf>
    <xf numFmtId="0" fontId="18" fillId="0" borderId="82" xfId="0" applyFont="1" applyBorder="1" applyAlignment="1">
      <alignment horizontal="center" vertical="center" wrapText="1"/>
    </xf>
    <xf numFmtId="0" fontId="18" fillId="0" borderId="83" xfId="0" applyNumberFormat="1" applyFont="1" applyBorder="1" applyAlignment="1">
      <alignment horizontal="center" vertical="center" wrapText="1"/>
    </xf>
    <xf numFmtId="0" fontId="18" fillId="0" borderId="87" xfId="0" applyNumberFormat="1" applyFont="1" applyBorder="1" applyAlignment="1">
      <alignment horizontal="center" vertical="center" wrapText="1"/>
    </xf>
    <xf numFmtId="0" fontId="18" fillId="0" borderId="110" xfId="0" applyNumberFormat="1" applyFont="1" applyBorder="1" applyAlignment="1">
      <alignment horizontal="center" vertical="center" wrapText="1"/>
    </xf>
    <xf numFmtId="2" fontId="18" fillId="0" borderId="21" xfId="0" applyNumberFormat="1" applyFont="1" applyBorder="1" applyAlignment="1">
      <alignment horizontal="center" vertical="center" wrapText="1"/>
    </xf>
    <xf numFmtId="2" fontId="18" fillId="0" borderId="19" xfId="0" applyNumberFormat="1" applyFont="1" applyBorder="1" applyAlignment="1">
      <alignment horizontal="center" vertical="center" wrapText="1"/>
    </xf>
    <xf numFmtId="2" fontId="18" fillId="0" borderId="20" xfId="0" applyNumberFormat="1" applyFont="1" applyBorder="1" applyAlignment="1">
      <alignment horizontal="center" vertical="center" wrapText="1"/>
    </xf>
    <xf numFmtId="2" fontId="18" fillId="0" borderId="29" xfId="0" applyNumberFormat="1" applyFont="1" applyBorder="1" applyAlignment="1">
      <alignment horizontal="center" vertical="center" wrapText="1"/>
    </xf>
    <xf numFmtId="2" fontId="18" fillId="0" borderId="101" xfId="0" applyNumberFormat="1" applyFont="1" applyBorder="1" applyAlignment="1">
      <alignment horizontal="center" vertical="center" wrapText="1"/>
    </xf>
    <xf numFmtId="2" fontId="18" fillId="0" borderId="106" xfId="0" applyNumberFormat="1" applyFont="1" applyBorder="1" applyAlignment="1">
      <alignment horizontal="center" vertical="center" wrapText="1"/>
    </xf>
    <xf numFmtId="2" fontId="18" fillId="0" borderId="107" xfId="0" applyNumberFormat="1" applyFont="1" applyBorder="1" applyAlignment="1">
      <alignment horizontal="center" vertical="center" wrapText="1"/>
    </xf>
    <xf numFmtId="2" fontId="18" fillId="0" borderId="112" xfId="0" applyNumberFormat="1" applyFont="1" applyBorder="1" applyAlignment="1">
      <alignment horizontal="center" vertical="center" wrapText="1"/>
    </xf>
    <xf numFmtId="2" fontId="2" fillId="0" borderId="0" xfId="0" applyNumberFormat="1" applyFont="1" applyFill="1" applyBorder="1" applyAlignment="1">
      <alignment horizontal="center"/>
    </xf>
    <xf numFmtId="2" fontId="18" fillId="0" borderId="11" xfId="0" applyNumberFormat="1" applyFont="1" applyBorder="1" applyAlignment="1">
      <alignment horizontal="center" vertical="center" wrapText="1"/>
    </xf>
    <xf numFmtId="0" fontId="4" fillId="0" borderId="0" xfId="0" applyNumberFormat="1" applyFont="1" applyFill="1" applyBorder="1" applyAlignment="1" applyProtection="1">
      <alignment horizontal="justify" vertical="top" wrapText="1"/>
    </xf>
    <xf numFmtId="2" fontId="18" fillId="0" borderId="83" xfId="0" applyNumberFormat="1" applyFont="1" applyBorder="1" applyAlignment="1">
      <alignment horizontal="center" vertical="center" wrapText="1"/>
    </xf>
    <xf numFmtId="2" fontId="18" fillId="0" borderId="76" xfId="0" applyNumberFormat="1" applyFont="1" applyBorder="1" applyAlignment="1">
      <alignment horizontal="center" vertical="center" wrapText="1"/>
    </xf>
    <xf numFmtId="2" fontId="18" fillId="0" borderId="82" xfId="0" applyNumberFormat="1" applyFont="1" applyBorder="1" applyAlignment="1">
      <alignment horizontal="center" vertical="center" wrapText="1"/>
    </xf>
    <xf numFmtId="2" fontId="18" fillId="0" borderId="87" xfId="0" applyNumberFormat="1" applyFont="1" applyBorder="1" applyAlignment="1">
      <alignment horizontal="center" vertical="center" wrapText="1"/>
    </xf>
    <xf numFmtId="2" fontId="18" fillId="0" borderId="110" xfId="0" applyNumberFormat="1" applyFont="1" applyBorder="1" applyAlignment="1">
      <alignment horizontal="center" vertical="center" wrapText="1"/>
    </xf>
    <xf numFmtId="1" fontId="18" fillId="0" borderId="1" xfId="0" applyNumberFormat="1" applyFont="1" applyBorder="1" applyAlignment="1">
      <alignment horizontal="center" vertical="center" wrapText="1"/>
    </xf>
    <xf numFmtId="1" fontId="18" fillId="0" borderId="3" xfId="0" applyNumberFormat="1" applyFont="1" applyBorder="1" applyAlignment="1">
      <alignment horizontal="center" vertical="center" wrapText="1"/>
    </xf>
    <xf numFmtId="2" fontId="18" fillId="0" borderId="13" xfId="0" applyNumberFormat="1" applyFont="1" applyFill="1" applyBorder="1" applyAlignment="1" applyProtection="1">
      <alignment horizontal="center" vertical="center" wrapText="1"/>
    </xf>
    <xf numFmtId="2" fontId="18" fillId="0" borderId="1" xfId="0" applyNumberFormat="1" applyFont="1" applyBorder="1" applyAlignment="1">
      <alignment horizontal="center" vertical="center" wrapText="1"/>
    </xf>
    <xf numFmtId="2" fontId="18" fillId="0" borderId="2" xfId="0" applyNumberFormat="1" applyFont="1" applyBorder="1" applyAlignment="1">
      <alignment horizontal="center" vertical="center" wrapText="1"/>
    </xf>
    <xf numFmtId="2" fontId="18" fillId="0" borderId="42" xfId="0" applyNumberFormat="1" applyFont="1" applyBorder="1" applyAlignment="1">
      <alignment horizontal="center" vertical="center" wrapText="1"/>
    </xf>
    <xf numFmtId="2" fontId="18" fillId="0" borderId="3" xfId="0" applyNumberFormat="1" applyFont="1" applyBorder="1" applyAlignment="1">
      <alignment horizontal="center" vertical="center" wrapText="1"/>
    </xf>
    <xf numFmtId="0" fontId="18" fillId="0" borderId="21"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29" xfId="0" applyFont="1" applyBorder="1" applyAlignment="1">
      <alignment horizontal="center" vertical="center" wrapText="1"/>
    </xf>
    <xf numFmtId="0" fontId="18" fillId="0" borderId="101" xfId="0" applyFont="1" applyBorder="1" applyAlignment="1">
      <alignment horizontal="center" vertical="center" wrapText="1"/>
    </xf>
    <xf numFmtId="0" fontId="4" fillId="0" borderId="114" xfId="0" applyFont="1" applyBorder="1" applyAlignment="1">
      <alignment horizontal="left" vertical="center" wrapText="1"/>
    </xf>
    <xf numFmtId="0" fontId="4" fillId="0" borderId="115" xfId="0" applyFont="1" applyBorder="1" applyAlignment="1">
      <alignment horizontal="left" vertical="center" wrapText="1"/>
    </xf>
    <xf numFmtId="0" fontId="4" fillId="0" borderId="116" xfId="0" applyFont="1" applyBorder="1" applyAlignment="1">
      <alignment horizontal="left" vertical="center" wrapText="1"/>
    </xf>
    <xf numFmtId="0" fontId="18" fillId="0" borderId="83" xfId="0" applyFont="1" applyBorder="1" applyAlignment="1">
      <alignment horizontal="center" vertical="center" wrapText="1"/>
    </xf>
    <xf numFmtId="0" fontId="18" fillId="0" borderId="76" xfId="0" applyFont="1" applyBorder="1" applyAlignment="1">
      <alignment horizontal="center" vertical="center" wrapText="1"/>
    </xf>
    <xf numFmtId="0" fontId="18" fillId="0" borderId="87" xfId="0" applyFont="1" applyBorder="1" applyAlignment="1">
      <alignment horizontal="center" vertical="center" wrapText="1"/>
    </xf>
    <xf numFmtId="0" fontId="18" fillId="0" borderId="110" xfId="0" applyFont="1" applyBorder="1" applyAlignment="1">
      <alignment horizontal="center" vertical="center" wrapText="1"/>
    </xf>
    <xf numFmtId="0" fontId="4" fillId="0" borderId="117" xfId="0" applyFont="1" applyBorder="1" applyAlignment="1">
      <alignment horizontal="left" vertical="center" wrapText="1"/>
    </xf>
    <xf numFmtId="0" fontId="4" fillId="0" borderId="113" xfId="0" applyFont="1" applyBorder="1" applyAlignment="1">
      <alignment horizontal="left" vertical="center" wrapText="1"/>
    </xf>
    <xf numFmtId="0" fontId="9" fillId="0" borderId="0" xfId="0" applyFont="1" applyBorder="1" applyAlignment="1">
      <alignment horizontal="center" vertical="center" wrapText="1"/>
    </xf>
    <xf numFmtId="0" fontId="9" fillId="0" borderId="107" xfId="0" applyFont="1" applyBorder="1" applyAlignment="1">
      <alignment horizontal="center" vertical="center" wrapText="1"/>
    </xf>
    <xf numFmtId="0" fontId="4" fillId="0" borderId="118" xfId="0" applyFont="1" applyBorder="1" applyAlignment="1">
      <alignment horizontal="left" vertical="center" wrapText="1"/>
    </xf>
    <xf numFmtId="0" fontId="4" fillId="0" borderId="119" xfId="0" applyFont="1" applyBorder="1" applyAlignment="1">
      <alignment horizontal="left" vertical="center" wrapText="1"/>
    </xf>
    <xf numFmtId="0" fontId="4" fillId="0" borderId="120" xfId="0" applyFont="1" applyBorder="1" applyAlignment="1">
      <alignment horizontal="left" vertical="center" wrapText="1"/>
    </xf>
    <xf numFmtId="0" fontId="9" fillId="0" borderId="75" xfId="0" applyFont="1" applyBorder="1" applyAlignment="1">
      <alignment horizontal="center" vertical="center" wrapText="1"/>
    </xf>
    <xf numFmtId="0" fontId="9" fillId="0" borderId="76"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13" xfId="0" applyNumberFormat="1" applyFont="1" applyFill="1" applyBorder="1" applyAlignment="1" applyProtection="1">
      <alignment horizontal="center" vertical="center" wrapText="1"/>
    </xf>
    <xf numFmtId="0" fontId="18" fillId="0" borderId="2" xfId="0" applyFont="1" applyBorder="1" applyAlignment="1">
      <alignment horizontal="center" vertical="center" wrapText="1"/>
    </xf>
    <xf numFmtId="0" fontId="18" fillId="0" borderId="42" xfId="0" applyFont="1" applyBorder="1" applyAlignment="1">
      <alignment horizontal="center" vertical="center" wrapText="1"/>
    </xf>
    <xf numFmtId="0" fontId="9" fillId="0" borderId="121" xfId="0" applyFont="1" applyBorder="1" applyAlignment="1">
      <alignment horizontal="center" vertical="center" wrapText="1"/>
    </xf>
    <xf numFmtId="0" fontId="18" fillId="0" borderId="122" xfId="0" applyFont="1" applyBorder="1" applyAlignment="1">
      <alignment horizontal="center" vertical="center" wrapText="1"/>
    </xf>
    <xf numFmtId="0" fontId="18" fillId="0" borderId="121" xfId="0" applyFont="1" applyBorder="1" applyAlignment="1">
      <alignment horizontal="center" vertical="center" wrapText="1"/>
    </xf>
    <xf numFmtId="0" fontId="18" fillId="0" borderId="123"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20" fillId="0" borderId="0" xfId="0" applyNumberFormat="1" applyFont="1" applyFill="1" applyBorder="1" applyAlignment="1" applyProtection="1">
      <alignment horizontal="left" vertical="center" wrapText="1"/>
    </xf>
    <xf numFmtId="0" fontId="5" fillId="0" borderId="0" xfId="0" applyFont="1" applyBorder="1" applyAlignment="1">
      <alignment horizontal="center" wrapText="1"/>
    </xf>
    <xf numFmtId="0" fontId="16" fillId="0" borderId="0" xfId="0" applyNumberFormat="1" applyFont="1" applyFill="1" applyBorder="1" applyAlignment="1" applyProtection="1">
      <alignment horizontal="left" vertical="top" wrapText="1"/>
    </xf>
    <xf numFmtId="0" fontId="9" fillId="0" borderId="106" xfId="0" applyFont="1" applyBorder="1" applyAlignment="1">
      <alignment horizontal="left" vertical="top" wrapText="1"/>
    </xf>
    <xf numFmtId="0" fontId="9" fillId="0" borderId="0" xfId="0" applyFont="1" applyBorder="1" applyAlignment="1">
      <alignment horizontal="left" vertical="top" wrapText="1"/>
    </xf>
    <xf numFmtId="0" fontId="9" fillId="0" borderId="107" xfId="0" applyFont="1" applyBorder="1" applyAlignment="1">
      <alignment horizontal="left" vertical="top" wrapText="1"/>
    </xf>
    <xf numFmtId="0" fontId="5" fillId="0" borderId="16" xfId="0" applyFont="1" applyBorder="1" applyAlignment="1">
      <alignment horizontal="center" wrapText="1"/>
    </xf>
    <xf numFmtId="0" fontId="9" fillId="0" borderId="83" xfId="0" applyFont="1" applyBorder="1" applyAlignment="1">
      <alignment horizontal="left" vertical="top" wrapText="1"/>
    </xf>
    <xf numFmtId="0" fontId="9" fillId="0" borderId="87" xfId="0" applyFont="1" applyBorder="1" applyAlignment="1">
      <alignment horizontal="left" vertical="top" wrapText="1"/>
    </xf>
    <xf numFmtId="0" fontId="9" fillId="0" borderId="76" xfId="0" applyFont="1" applyBorder="1" applyAlignment="1">
      <alignment horizontal="left" vertical="top" wrapText="1"/>
    </xf>
    <xf numFmtId="0" fontId="4" fillId="0" borderId="0" xfId="0" applyNumberFormat="1" applyFont="1" applyFill="1" applyBorder="1" applyAlignment="1" applyProtection="1">
      <alignment horizontal="center" vertical="top" wrapText="1"/>
    </xf>
    <xf numFmtId="0" fontId="21" fillId="0" borderId="0" xfId="0" applyFont="1" applyBorder="1" applyAlignment="1">
      <alignment horizontal="center" wrapText="1"/>
    </xf>
    <xf numFmtId="0" fontId="10" fillId="0" borderId="6" xfId="0" applyFont="1" applyBorder="1" applyAlignment="1">
      <alignment horizontal="center" vertical="top" wrapText="1"/>
    </xf>
    <xf numFmtId="0" fontId="21" fillId="0" borderId="16" xfId="0" applyFont="1" applyBorder="1" applyAlignment="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104"/>
  <sheetViews>
    <sheetView tabSelected="1" zoomScale="160" zoomScaleNormal="160" zoomScaleSheetLayoutView="60" workbookViewId="0">
      <selection activeCell="BA81" sqref="BA81:BE82"/>
    </sheetView>
  </sheetViews>
  <sheetFormatPr defaultColWidth="8.83333333333333" defaultRowHeight="13.2"/>
  <cols>
    <col min="1" max="1" width="2.5"/>
    <col min="2" max="2" width="1.33333333333333"/>
    <col min="3" max="3" width="1.5"/>
    <col min="4" max="4" width="2.83333333333333"/>
    <col min="5" max="5" width="9.66666666666667"/>
    <col min="6" max="6" width="8.66666666666667"/>
    <col min="7" max="7" width="0.166666666666667"/>
    <col min="8" max="8" width="0.833333333333333"/>
    <col min="9" max="9" width="3.33333333333333" customWidth="1"/>
    <col min="10" max="10" width="3.5"/>
    <col min="11" max="13" width="3.33333333333333"/>
    <col min="14" max="14" width="2.5"/>
    <col min="15" max="15" width="0.333333333333333"/>
    <col min="16" max="16" width="3.66666666666667" customWidth="1"/>
    <col min="17" max="17" width="4"/>
    <col min="18" max="19" width="3.33333333333333"/>
    <col min="20" max="20" width="0.833333333333333"/>
    <col min="21" max="21" width="2.83333333333333" customWidth="1"/>
    <col min="22" max="22" width="3"/>
    <col min="23" max="23" width="0.5"/>
    <col min="24" max="24" width="3.16666666666667" customWidth="1"/>
    <col min="25" max="25" width="0.666666666666667"/>
    <col min="26" max="26" width="3" customWidth="1"/>
    <col min="27" max="27" width="1.16666666666667"/>
    <col min="28" max="28" width="2.33333333333333" customWidth="1"/>
    <col min="29" max="29" width="3.66666666666667" customWidth="1"/>
    <col min="30" max="30" width="3.33333333333333"/>
    <col min="31" max="31" width="1.33333333333333"/>
    <col min="32" max="32" width="1.5"/>
    <col min="33" max="33" width="3.16666666666667"/>
    <col min="34" max="34" width="1"/>
    <col min="35" max="35" width="0.166666666666667"/>
    <col min="36" max="36" width="2.66666666666667" customWidth="1"/>
    <col min="37" max="39" width="3.16666666666667"/>
    <col min="40" max="40" width="2.33333333333333"/>
    <col min="41" max="41" width="0.5"/>
    <col min="42" max="44" width="3.16666666666667"/>
    <col min="45" max="45" width="1.66666666666667" customWidth="1"/>
    <col min="46" max="46" width="0.166666666666667" hidden="1" customWidth="1"/>
    <col min="47" max="47" width="1.16666666666667" customWidth="1"/>
    <col min="48" max="48" width="2.16666666666667"/>
    <col min="49" max="49" width="0.166666666666667"/>
    <col min="50" max="50" width="0.5"/>
    <col min="51" max="51" width="2.5"/>
    <col min="52" max="52" width="0.333333333333333"/>
    <col min="53" max="53" width="1.33333333333333"/>
    <col min="54" max="54" width="5.33333333333333"/>
    <col min="55" max="55" width="5"/>
    <col min="56" max="56" width="1.83333333333333"/>
    <col min="57" max="57" width="10"/>
    <col min="58" max="58" width="1.83333333333333"/>
    <col min="59" max="59" width="1.5"/>
    <col min="60" max="60" width="6.16666666666667"/>
    <col min="61" max="61" width="6.33333333333333"/>
    <col min="62" max="63" width="0.333333333333333"/>
  </cols>
  <sheetData>
    <row r="1" ht="10" customHeight="1" spans="1:63">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row>
    <row r="2" ht="20" customHeight="1" spans="1:6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row>
    <row r="3" ht="20" customHeight="1" spans="1:63">
      <c r="A3" s="3" t="s">
        <v>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row>
    <row r="4" ht="20" customHeight="1" spans="1:63">
      <c r="A4" s="4" t="s">
        <v>2</v>
      </c>
      <c r="B4" s="2"/>
      <c r="C4" s="2"/>
      <c r="D4" s="2"/>
      <c r="E4" s="2"/>
      <c r="F4" s="2"/>
      <c r="G4" s="5"/>
      <c r="H4" s="6">
        <v>126220</v>
      </c>
      <c r="I4" s="7"/>
      <c r="J4" s="7"/>
      <c r="K4" s="8"/>
      <c r="L4" s="4" t="s">
        <v>3</v>
      </c>
      <c r="M4" s="2"/>
      <c r="N4" s="2"/>
      <c r="O4" s="6" t="s">
        <v>4</v>
      </c>
      <c r="P4" s="7"/>
      <c r="Q4" s="7"/>
      <c r="R4" s="7"/>
      <c r="S4" s="7"/>
      <c r="T4" s="8"/>
      <c r="U4" s="5"/>
      <c r="V4" s="5"/>
      <c r="W4" s="5"/>
      <c r="X4" s="4" t="s">
        <v>5</v>
      </c>
      <c r="Y4" s="2"/>
      <c r="Z4" s="2"/>
      <c r="AA4" s="2"/>
      <c r="AB4" s="2"/>
      <c r="AC4" s="2"/>
      <c r="AD4" s="2"/>
      <c r="AE4" s="2"/>
      <c r="AF4" s="6" t="s">
        <v>6</v>
      </c>
      <c r="AG4" s="7"/>
      <c r="AH4" s="7"/>
      <c r="AI4" s="7"/>
      <c r="AJ4" s="7"/>
      <c r="AK4" s="7"/>
      <c r="AL4" s="7"/>
      <c r="AM4" s="7"/>
      <c r="AN4" s="8"/>
      <c r="AO4" s="5"/>
      <c r="AP4" s="5"/>
      <c r="AQ4" s="5"/>
      <c r="AR4" s="5"/>
      <c r="AS4" s="5"/>
      <c r="AT4" s="9" t="s">
        <v>7</v>
      </c>
      <c r="AU4" s="10"/>
      <c r="AV4" s="10"/>
      <c r="AW4" s="10"/>
      <c r="AX4" s="10"/>
      <c r="AY4" s="10"/>
      <c r="AZ4" s="10"/>
      <c r="BA4" s="10"/>
      <c r="BB4" s="10"/>
      <c r="BC4" s="10"/>
      <c r="BD4" s="10"/>
      <c r="BE4" s="10"/>
      <c r="BF4" s="11"/>
      <c r="BG4" s="9">
        <v>3</v>
      </c>
      <c r="BH4" s="10"/>
      <c r="BI4" s="10"/>
      <c r="BJ4" s="10"/>
      <c r="BK4" s="11"/>
    </row>
    <row r="5" ht="20" customHeight="1" spans="1:63">
      <c r="A5" s="4" t="s">
        <v>8</v>
      </c>
      <c r="B5" s="2"/>
      <c r="C5" s="2"/>
      <c r="D5" s="2"/>
      <c r="E5" s="2"/>
      <c r="F5" s="2"/>
      <c r="G5" s="5"/>
      <c r="H5" s="6" t="s">
        <v>9</v>
      </c>
      <c r="I5" s="7"/>
      <c r="J5" s="7"/>
      <c r="K5" s="7"/>
      <c r="L5" s="7"/>
      <c r="M5" s="7"/>
      <c r="N5" s="7"/>
      <c r="O5" s="7"/>
      <c r="P5" s="7"/>
      <c r="Q5" s="7"/>
      <c r="R5" s="7"/>
      <c r="S5" s="7"/>
      <c r="T5" s="8"/>
      <c r="U5" s="5"/>
      <c r="V5" s="5"/>
      <c r="W5" s="5"/>
      <c r="X5" s="4" t="s">
        <v>10</v>
      </c>
      <c r="Y5" s="2"/>
      <c r="Z5" s="2"/>
      <c r="AA5" s="2"/>
      <c r="AB5" s="2"/>
      <c r="AC5" s="2"/>
      <c r="AD5" s="2"/>
      <c r="AE5" s="2"/>
      <c r="AF5" s="6" t="s">
        <v>11</v>
      </c>
      <c r="AG5" s="7"/>
      <c r="AH5" s="7"/>
      <c r="AI5" s="7"/>
      <c r="AJ5" s="7"/>
      <c r="AK5" s="7"/>
      <c r="AL5" s="7"/>
      <c r="AM5" s="7"/>
      <c r="AN5" s="8"/>
      <c r="AO5" s="5"/>
      <c r="AP5" s="5"/>
      <c r="AQ5" s="5"/>
      <c r="AR5" s="5"/>
      <c r="AS5" s="4" t="s">
        <v>12</v>
      </c>
      <c r="AT5" s="2"/>
      <c r="AU5" s="2"/>
      <c r="AV5" s="2"/>
      <c r="AW5" s="2"/>
      <c r="AX5" s="2"/>
      <c r="AY5" s="2"/>
      <c r="AZ5" s="2"/>
      <c r="BA5" s="6" t="s">
        <v>13</v>
      </c>
      <c r="BB5" s="7"/>
      <c r="BC5" s="7"/>
      <c r="BD5" s="7"/>
      <c r="BE5" s="7"/>
      <c r="BF5" s="7"/>
      <c r="BG5" s="7"/>
      <c r="BH5" s="7"/>
      <c r="BI5" s="7"/>
      <c r="BJ5" s="7"/>
      <c r="BK5" s="8"/>
    </row>
    <row r="6" ht="10" customHeight="1" spans="1:63">
      <c r="A6" s="12" t="s">
        <v>14</v>
      </c>
      <c r="B6" s="13"/>
      <c r="C6" s="12" t="s">
        <v>15</v>
      </c>
      <c r="D6" s="14"/>
      <c r="E6" s="14"/>
      <c r="F6" s="14"/>
      <c r="G6" s="13"/>
      <c r="H6" s="15" t="s">
        <v>16</v>
      </c>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7"/>
      <c r="BA6" s="18" t="s">
        <v>17</v>
      </c>
      <c r="BB6" s="19"/>
      <c r="BC6" s="19"/>
      <c r="BD6" s="20"/>
      <c r="BE6" s="21" t="s">
        <v>18</v>
      </c>
      <c r="BF6" s="22"/>
      <c r="BG6" s="22"/>
      <c r="BH6" s="22"/>
      <c r="BI6" s="22"/>
      <c r="BJ6" s="22"/>
      <c r="BK6" s="23"/>
    </row>
    <row r="7" ht="15" customHeight="1" spans="1:63">
      <c r="A7" s="24"/>
      <c r="B7" s="25"/>
      <c r="C7" s="24"/>
      <c r="D7" s="2"/>
      <c r="E7" s="2"/>
      <c r="F7" s="2"/>
      <c r="G7" s="25"/>
      <c r="H7" s="26">
        <v>1</v>
      </c>
      <c r="I7" s="27"/>
      <c r="J7" s="28">
        <v>2</v>
      </c>
      <c r="K7" s="28">
        <v>3</v>
      </c>
      <c r="L7" s="28">
        <v>4</v>
      </c>
      <c r="M7" s="28">
        <v>5</v>
      </c>
      <c r="N7" s="29"/>
      <c r="O7" s="27"/>
      <c r="P7" s="30">
        <v>8</v>
      </c>
      <c r="Q7" s="28">
        <v>9</v>
      </c>
      <c r="R7" s="28">
        <v>10</v>
      </c>
      <c r="S7" s="28">
        <v>11</v>
      </c>
      <c r="T7" s="29">
        <v>12</v>
      </c>
      <c r="U7" s="27"/>
      <c r="V7" s="28"/>
      <c r="W7" s="26">
        <v>15</v>
      </c>
      <c r="X7" s="27"/>
      <c r="Y7" s="29">
        <v>16</v>
      </c>
      <c r="Z7" s="27"/>
      <c r="AA7" s="29">
        <v>17</v>
      </c>
      <c r="AB7" s="27"/>
      <c r="AC7" s="28">
        <v>18</v>
      </c>
      <c r="AD7" s="28">
        <v>19</v>
      </c>
      <c r="AE7" s="29"/>
      <c r="AF7" s="27"/>
      <c r="AG7" s="30">
        <v>22</v>
      </c>
      <c r="AH7" s="29">
        <v>23</v>
      </c>
      <c r="AI7" s="31"/>
      <c r="AJ7" s="27"/>
      <c r="AK7" s="28">
        <v>24</v>
      </c>
      <c r="AL7" s="28">
        <v>25</v>
      </c>
      <c r="AM7" s="28">
        <v>26</v>
      </c>
      <c r="AN7" s="29"/>
      <c r="AO7" s="27"/>
      <c r="AP7" s="30">
        <v>29</v>
      </c>
      <c r="AQ7" s="28">
        <v>30</v>
      </c>
      <c r="AR7" s="32">
        <v>31</v>
      </c>
      <c r="AS7" s="33"/>
      <c r="AT7" s="34"/>
      <c r="AU7" s="35"/>
      <c r="AV7" s="33"/>
      <c r="AW7" s="34"/>
      <c r="AX7" s="35"/>
      <c r="AY7" s="33" t="s">
        <v>19</v>
      </c>
      <c r="AZ7" s="35"/>
      <c r="BA7" s="36"/>
      <c r="BB7" s="37"/>
      <c r="BC7" s="37"/>
      <c r="BD7" s="38"/>
      <c r="BE7" s="39"/>
      <c r="BF7" s="2"/>
      <c r="BG7" s="2"/>
      <c r="BH7" s="2"/>
      <c r="BI7" s="2"/>
      <c r="BJ7" s="2"/>
      <c r="BK7" s="40"/>
    </row>
    <row r="8" ht="15" customHeight="1" spans="1:63">
      <c r="A8" s="24"/>
      <c r="B8" s="25"/>
      <c r="C8" s="24"/>
      <c r="D8" s="41"/>
      <c r="E8" s="41"/>
      <c r="F8" s="41"/>
      <c r="G8" s="25"/>
      <c r="H8" s="42" t="s">
        <v>20</v>
      </c>
      <c r="I8" s="43"/>
      <c r="J8" s="44" t="s">
        <v>21</v>
      </c>
      <c r="K8" s="44" t="s">
        <v>22</v>
      </c>
      <c r="L8" s="44" t="s">
        <v>23</v>
      </c>
      <c r="M8" s="44" t="s">
        <v>24</v>
      </c>
      <c r="N8" s="45" t="s">
        <v>25</v>
      </c>
      <c r="O8" s="43"/>
      <c r="P8" s="46" t="s">
        <v>20</v>
      </c>
      <c r="Q8" s="47" t="s">
        <v>21</v>
      </c>
      <c r="R8" s="47" t="s">
        <v>22</v>
      </c>
      <c r="S8" s="47" t="s">
        <v>23</v>
      </c>
      <c r="T8" s="48" t="s">
        <v>24</v>
      </c>
      <c r="U8" s="49"/>
      <c r="V8" s="47" t="s">
        <v>25</v>
      </c>
      <c r="W8" s="50" t="s">
        <v>20</v>
      </c>
      <c r="X8" s="49"/>
      <c r="Y8" s="48" t="s">
        <v>21</v>
      </c>
      <c r="Z8" s="49"/>
      <c r="AA8" s="48" t="s">
        <v>22</v>
      </c>
      <c r="AB8" s="49"/>
      <c r="AC8" s="47" t="s">
        <v>23</v>
      </c>
      <c r="AD8" s="47" t="s">
        <v>24</v>
      </c>
      <c r="AE8" s="48" t="s">
        <v>25</v>
      </c>
      <c r="AF8" s="49"/>
      <c r="AG8" s="46" t="s">
        <v>20</v>
      </c>
      <c r="AH8" s="48" t="s">
        <v>21</v>
      </c>
      <c r="AI8" s="51"/>
      <c r="AJ8" s="49"/>
      <c r="AK8" s="47" t="s">
        <v>22</v>
      </c>
      <c r="AL8" s="47" t="s">
        <v>23</v>
      </c>
      <c r="AM8" s="47" t="s">
        <v>24</v>
      </c>
      <c r="AN8" s="48" t="s">
        <v>25</v>
      </c>
      <c r="AO8" s="49"/>
      <c r="AP8" s="52" t="s">
        <v>20</v>
      </c>
      <c r="AQ8" s="44" t="s">
        <v>21</v>
      </c>
      <c r="AR8" s="44" t="s">
        <v>22</v>
      </c>
      <c r="AS8" s="45" t="s">
        <v>23</v>
      </c>
      <c r="AT8" s="53"/>
      <c r="AU8" s="43"/>
      <c r="AV8" s="45" t="s">
        <v>24</v>
      </c>
      <c r="AW8" s="53"/>
      <c r="AX8" s="43"/>
      <c r="AY8" s="45" t="s">
        <v>25</v>
      </c>
      <c r="AZ8" s="43"/>
      <c r="BA8" s="54" t="s">
        <v>26</v>
      </c>
      <c r="BB8" s="55"/>
      <c r="BC8" s="54" t="s">
        <v>27</v>
      </c>
      <c r="BD8" s="55"/>
      <c r="BE8" s="56"/>
      <c r="BF8" s="57"/>
      <c r="BG8" s="57"/>
      <c r="BH8" s="57"/>
      <c r="BI8" s="57"/>
      <c r="BJ8" s="57"/>
      <c r="BK8" s="58"/>
    </row>
    <row r="9" ht="20" customHeight="1" spans="1:63">
      <c r="A9" s="59">
        <v>1</v>
      </c>
      <c r="B9" s="60"/>
      <c r="C9" s="61" t="s">
        <v>28</v>
      </c>
      <c r="D9" s="62"/>
      <c r="E9" s="62"/>
      <c r="F9" s="63"/>
      <c r="G9" s="64" t="s">
        <v>28</v>
      </c>
      <c r="H9" s="65" t="s">
        <v>29</v>
      </c>
      <c r="I9" s="66"/>
      <c r="J9" s="67">
        <v>1</v>
      </c>
      <c r="K9" s="67">
        <v>1</v>
      </c>
      <c r="L9" s="67"/>
      <c r="M9" s="67"/>
      <c r="N9" s="66"/>
      <c r="O9" s="68"/>
      <c r="P9" s="69"/>
      <c r="Q9" s="70">
        <v>1</v>
      </c>
      <c r="R9" s="70">
        <v>1</v>
      </c>
      <c r="S9" s="70"/>
      <c r="T9" s="71"/>
      <c r="U9" s="72"/>
      <c r="V9" s="73" t="s">
        <v>19</v>
      </c>
      <c r="W9" s="74"/>
      <c r="X9" s="72"/>
      <c r="Y9" s="71">
        <v>1</v>
      </c>
      <c r="Z9" s="72"/>
      <c r="AA9" s="71">
        <v>1</v>
      </c>
      <c r="AB9" s="72"/>
      <c r="AC9" s="70">
        <v>1</v>
      </c>
      <c r="AD9" s="70"/>
      <c r="AE9" s="71"/>
      <c r="AF9" s="72"/>
      <c r="AG9" s="75"/>
      <c r="AH9" s="71"/>
      <c r="AI9" s="76"/>
      <c r="AJ9" s="72"/>
      <c r="AK9" s="70"/>
      <c r="AL9" s="70"/>
      <c r="AM9" s="70"/>
      <c r="AN9" s="71" t="s">
        <v>19</v>
      </c>
      <c r="AO9" s="76"/>
      <c r="AP9" s="77"/>
      <c r="AQ9" s="67" t="s">
        <v>19</v>
      </c>
      <c r="AR9" s="67"/>
      <c r="AS9" s="66" t="s">
        <v>19</v>
      </c>
      <c r="AT9" s="66"/>
      <c r="AU9" s="66"/>
      <c r="AV9" s="66" t="s">
        <v>19</v>
      </c>
      <c r="AW9" s="66"/>
      <c r="AX9" s="66"/>
      <c r="AY9" s="78" t="s">
        <v>19</v>
      </c>
      <c r="AZ9" s="79"/>
      <c r="BA9" s="80">
        <f t="shared" ref="BA9:BA29" si="0">SUM(G9:AZ9)</f>
        <v>7</v>
      </c>
      <c r="BB9" s="81"/>
      <c r="BC9" s="82">
        <f>SUM(20-BA9)</f>
        <v>13</v>
      </c>
      <c r="BD9" s="81"/>
      <c r="BE9" s="83" t="s">
        <v>19</v>
      </c>
      <c r="BF9" s="80"/>
      <c r="BG9" s="80"/>
      <c r="BH9" s="80"/>
      <c r="BI9" s="80"/>
      <c r="BJ9" s="80"/>
      <c r="BK9" s="81"/>
    </row>
    <row r="10" ht="20" customHeight="1" spans="1:63">
      <c r="A10" s="84">
        <v>2</v>
      </c>
      <c r="B10" s="85"/>
      <c r="C10" s="86" t="s">
        <v>30</v>
      </c>
      <c r="D10" s="87"/>
      <c r="E10" s="87"/>
      <c r="F10" s="88"/>
      <c r="G10" s="89" t="s">
        <v>30</v>
      </c>
      <c r="H10" s="90" t="s">
        <v>31</v>
      </c>
      <c r="I10" s="91"/>
      <c r="J10" s="92"/>
      <c r="K10" s="92"/>
      <c r="L10" s="92"/>
      <c r="M10" s="92"/>
      <c r="N10" s="91"/>
      <c r="O10" s="93"/>
      <c r="P10" s="69"/>
      <c r="Q10" s="70">
        <v>1</v>
      </c>
      <c r="R10" s="70">
        <v>1</v>
      </c>
      <c r="S10" s="70">
        <v>1</v>
      </c>
      <c r="T10" s="71">
        <v>1</v>
      </c>
      <c r="U10" s="72"/>
      <c r="V10" s="73"/>
      <c r="W10" s="74"/>
      <c r="X10" s="72"/>
      <c r="Y10" s="71">
        <v>1</v>
      </c>
      <c r="Z10" s="72"/>
      <c r="AA10" s="71">
        <v>1</v>
      </c>
      <c r="AB10" s="72"/>
      <c r="AC10" s="70">
        <v>1</v>
      </c>
      <c r="AD10" s="70">
        <v>1</v>
      </c>
      <c r="AE10" s="71"/>
      <c r="AF10" s="72"/>
      <c r="AG10" s="75"/>
      <c r="AH10" s="71"/>
      <c r="AI10" s="76"/>
      <c r="AJ10" s="72"/>
      <c r="AK10" s="70"/>
      <c r="AL10" s="70"/>
      <c r="AM10" s="70">
        <v>1</v>
      </c>
      <c r="AN10" s="71" t="s">
        <v>19</v>
      </c>
      <c r="AO10" s="76"/>
      <c r="AP10" s="94"/>
      <c r="AQ10" s="92">
        <v>1</v>
      </c>
      <c r="AR10" s="92">
        <v>1</v>
      </c>
      <c r="AS10" s="91"/>
      <c r="AT10" s="91"/>
      <c r="AU10" s="91"/>
      <c r="AV10" s="91"/>
      <c r="AW10" s="91"/>
      <c r="AX10" s="91"/>
      <c r="AY10" s="95" t="s">
        <v>19</v>
      </c>
      <c r="AZ10" s="96"/>
      <c r="BA10" s="80">
        <f t="shared" si="0"/>
        <v>11</v>
      </c>
      <c r="BB10" s="81"/>
      <c r="BC10" s="82">
        <f>SUM(23-BA10)</f>
        <v>12</v>
      </c>
      <c r="BD10" s="81"/>
      <c r="BE10" s="83" t="s">
        <v>32</v>
      </c>
      <c r="BF10" s="80"/>
      <c r="BG10" s="80"/>
      <c r="BH10" s="80"/>
      <c r="BI10" s="80"/>
      <c r="BJ10" s="80"/>
      <c r="BK10" s="81"/>
    </row>
    <row r="11" ht="20" customHeight="1" spans="1:63">
      <c r="A11" s="84">
        <v>3</v>
      </c>
      <c r="B11" s="85"/>
      <c r="C11" s="86" t="s">
        <v>33</v>
      </c>
      <c r="D11" s="87"/>
      <c r="E11" s="87"/>
      <c r="F11" s="88"/>
      <c r="G11" s="89" t="s">
        <v>33</v>
      </c>
      <c r="H11" s="90" t="s">
        <v>34</v>
      </c>
      <c r="I11" s="91"/>
      <c r="J11" s="92"/>
      <c r="K11" s="92"/>
      <c r="L11" s="92"/>
      <c r="M11" s="92"/>
      <c r="N11" s="91"/>
      <c r="O11" s="93"/>
      <c r="P11" s="69"/>
      <c r="Q11" s="70"/>
      <c r="R11" s="70"/>
      <c r="S11" s="70"/>
      <c r="T11" s="71"/>
      <c r="U11" s="72"/>
      <c r="V11" s="73"/>
      <c r="W11" s="74"/>
      <c r="X11" s="72"/>
      <c r="Y11" s="71"/>
      <c r="Z11" s="72"/>
      <c r="AA11" s="71"/>
      <c r="AB11" s="72"/>
      <c r="AC11" s="70"/>
      <c r="AD11" s="70"/>
      <c r="AE11" s="71"/>
      <c r="AF11" s="72"/>
      <c r="AG11" s="75"/>
      <c r="AH11" s="71"/>
      <c r="AI11" s="76"/>
      <c r="AJ11" s="72"/>
      <c r="AK11" s="70"/>
      <c r="AL11" s="70"/>
      <c r="AM11" s="70"/>
      <c r="AN11" s="71"/>
      <c r="AO11" s="76"/>
      <c r="AP11" s="94"/>
      <c r="AQ11" s="92">
        <v>1</v>
      </c>
      <c r="AR11" s="92"/>
      <c r="AS11" s="91" t="s">
        <v>19</v>
      </c>
      <c r="AT11" s="91"/>
      <c r="AU11" s="91"/>
      <c r="AV11" s="91" t="s">
        <v>19</v>
      </c>
      <c r="AW11" s="91"/>
      <c r="AX11" s="91"/>
      <c r="AY11" s="95" t="s">
        <v>19</v>
      </c>
      <c r="AZ11" s="96"/>
      <c r="BA11" s="80">
        <f t="shared" si="0"/>
        <v>1</v>
      </c>
      <c r="BB11" s="81"/>
      <c r="BC11" s="82">
        <f>SUM(23-BA11)</f>
        <v>22</v>
      </c>
      <c r="BD11" s="81"/>
      <c r="BE11" s="83"/>
      <c r="BF11" s="80"/>
      <c r="BG11" s="80"/>
      <c r="BH11" s="80"/>
      <c r="BI11" s="80"/>
      <c r="BJ11" s="80"/>
      <c r="BK11" s="81"/>
    </row>
    <row r="12" ht="20" customHeight="1" spans="1:63">
      <c r="A12" s="84">
        <v>4</v>
      </c>
      <c r="B12" s="85"/>
      <c r="C12" s="86" t="s">
        <v>35</v>
      </c>
      <c r="D12" s="87"/>
      <c r="E12" s="87"/>
      <c r="F12" s="88"/>
      <c r="G12" s="89" t="s">
        <v>35</v>
      </c>
      <c r="H12" s="90" t="s">
        <v>36</v>
      </c>
      <c r="I12" s="91"/>
      <c r="J12" s="92"/>
      <c r="K12" s="92"/>
      <c r="L12" s="92"/>
      <c r="M12" s="92"/>
      <c r="N12" s="91"/>
      <c r="O12" s="93"/>
      <c r="P12" s="69"/>
      <c r="Q12" s="70">
        <v>1</v>
      </c>
      <c r="R12" s="70">
        <v>1</v>
      </c>
      <c r="S12" s="70">
        <v>1</v>
      </c>
      <c r="T12" s="71">
        <v>1</v>
      </c>
      <c r="U12" s="72"/>
      <c r="V12" s="73"/>
      <c r="W12" s="74"/>
      <c r="X12" s="72"/>
      <c r="Y12" s="71"/>
      <c r="Z12" s="72"/>
      <c r="AA12" s="71"/>
      <c r="AB12" s="72"/>
      <c r="AC12" s="70"/>
      <c r="AD12" s="70"/>
      <c r="AE12" s="71"/>
      <c r="AF12" s="72"/>
      <c r="AG12" s="75"/>
      <c r="AH12" s="71"/>
      <c r="AI12" s="76"/>
      <c r="AJ12" s="72"/>
      <c r="AK12" s="70"/>
      <c r="AL12" s="70"/>
      <c r="AM12" s="70"/>
      <c r="AN12" s="71" t="s">
        <v>19</v>
      </c>
      <c r="AO12" s="76"/>
      <c r="AP12" s="94"/>
      <c r="AQ12" s="92">
        <v>1</v>
      </c>
      <c r="AR12" s="92"/>
      <c r="AS12" s="91"/>
      <c r="AT12" s="91"/>
      <c r="AU12" s="91"/>
      <c r="AV12" s="91"/>
      <c r="AW12" s="91"/>
      <c r="AX12" s="91"/>
      <c r="AY12" s="95" t="s">
        <v>19</v>
      </c>
      <c r="AZ12" s="96"/>
      <c r="BA12" s="80">
        <f t="shared" si="0"/>
        <v>5</v>
      </c>
      <c r="BB12" s="81"/>
      <c r="BC12" s="82">
        <f>SUM(23-BA12)</f>
        <v>18</v>
      </c>
      <c r="BD12" s="81"/>
      <c r="BE12" s="83"/>
      <c r="BF12" s="80"/>
      <c r="BG12" s="80"/>
      <c r="BH12" s="80"/>
      <c r="BI12" s="80"/>
      <c r="BJ12" s="80"/>
      <c r="BK12" s="81"/>
    </row>
    <row r="13" ht="20" customHeight="1" spans="1:63">
      <c r="A13" s="84">
        <v>5</v>
      </c>
      <c r="B13" s="85"/>
      <c r="C13" s="86" t="s">
        <v>37</v>
      </c>
      <c r="D13" s="87"/>
      <c r="E13" s="87"/>
      <c r="F13" s="88"/>
      <c r="G13" s="89" t="s">
        <v>37</v>
      </c>
      <c r="H13" s="90" t="s">
        <v>38</v>
      </c>
      <c r="I13" s="91"/>
      <c r="J13" s="92"/>
      <c r="K13" s="92"/>
      <c r="L13" s="92"/>
      <c r="M13" s="92"/>
      <c r="N13" s="91"/>
      <c r="O13" s="93"/>
      <c r="P13" s="69"/>
      <c r="Q13" s="70"/>
      <c r="R13" s="70"/>
      <c r="S13" s="70"/>
      <c r="T13" s="71"/>
      <c r="U13" s="72"/>
      <c r="V13" s="73"/>
      <c r="W13" s="74"/>
      <c r="X13" s="72"/>
      <c r="Y13" s="71"/>
      <c r="Z13" s="72"/>
      <c r="AA13" s="71"/>
      <c r="AB13" s="72"/>
      <c r="AC13" s="70"/>
      <c r="AD13" s="70"/>
      <c r="AE13" s="71"/>
      <c r="AF13" s="72"/>
      <c r="AG13" s="75"/>
      <c r="AH13" s="71"/>
      <c r="AI13" s="76"/>
      <c r="AJ13" s="72"/>
      <c r="AK13" s="70"/>
      <c r="AL13" s="70"/>
      <c r="AM13" s="70"/>
      <c r="AN13" s="71" t="s">
        <v>19</v>
      </c>
      <c r="AO13" s="76"/>
      <c r="AP13" s="94"/>
      <c r="AQ13" s="92" t="s">
        <v>19</v>
      </c>
      <c r="AR13" s="92"/>
      <c r="AS13" s="91" t="s">
        <v>19</v>
      </c>
      <c r="AT13" s="91"/>
      <c r="AU13" s="91"/>
      <c r="AV13" s="91" t="s">
        <v>19</v>
      </c>
      <c r="AW13" s="91"/>
      <c r="AX13" s="91"/>
      <c r="AY13" s="95" t="s">
        <v>19</v>
      </c>
      <c r="AZ13" s="96"/>
      <c r="BA13" s="80">
        <f t="shared" si="0"/>
        <v>0</v>
      </c>
      <c r="BB13" s="81"/>
      <c r="BC13" s="82">
        <f t="shared" ref="BC13:BC23" si="1">SUM(23-BA13)</f>
        <v>23</v>
      </c>
      <c r="BD13" s="81"/>
      <c r="BE13" s="83" t="s">
        <v>39</v>
      </c>
      <c r="BF13" s="80"/>
      <c r="BG13" s="80"/>
      <c r="BH13" s="80"/>
      <c r="BI13" s="80"/>
      <c r="BJ13" s="80"/>
      <c r="BK13" s="81"/>
    </row>
    <row r="14" ht="20" customHeight="1" spans="1:63">
      <c r="A14" s="84">
        <v>6</v>
      </c>
      <c r="B14" s="85"/>
      <c r="C14" s="86" t="s">
        <v>40</v>
      </c>
      <c r="D14" s="87"/>
      <c r="E14" s="87"/>
      <c r="F14" s="88"/>
      <c r="G14" s="89" t="s">
        <v>40</v>
      </c>
      <c r="H14" s="90" t="s">
        <v>41</v>
      </c>
      <c r="I14" s="91"/>
      <c r="J14" s="92"/>
      <c r="K14" s="92"/>
      <c r="L14" s="92"/>
      <c r="M14" s="92"/>
      <c r="N14" s="91"/>
      <c r="O14" s="93"/>
      <c r="P14" s="69"/>
      <c r="Q14" s="70"/>
      <c r="R14" s="70"/>
      <c r="S14" s="70"/>
      <c r="T14" s="71"/>
      <c r="U14" s="72"/>
      <c r="V14" s="73"/>
      <c r="W14" s="74"/>
      <c r="X14" s="72"/>
      <c r="Y14" s="71"/>
      <c r="Z14" s="72"/>
      <c r="AA14" s="71"/>
      <c r="AB14" s="72"/>
      <c r="AC14" s="70"/>
      <c r="AD14" s="70"/>
      <c r="AE14" s="71"/>
      <c r="AF14" s="72"/>
      <c r="AG14" s="75"/>
      <c r="AH14" s="71"/>
      <c r="AI14" s="76"/>
      <c r="AJ14" s="72"/>
      <c r="AK14" s="70"/>
      <c r="AL14" s="70"/>
      <c r="AM14" s="70"/>
      <c r="AN14" s="71" t="s">
        <v>19</v>
      </c>
      <c r="AO14" s="76"/>
      <c r="AP14" s="94"/>
      <c r="AQ14" s="92" t="s">
        <v>19</v>
      </c>
      <c r="AR14" s="92"/>
      <c r="AS14" s="91" t="s">
        <v>19</v>
      </c>
      <c r="AT14" s="91"/>
      <c r="AU14" s="91"/>
      <c r="AV14" s="91" t="s">
        <v>19</v>
      </c>
      <c r="AW14" s="91"/>
      <c r="AX14" s="91"/>
      <c r="AY14" s="95" t="s">
        <v>19</v>
      </c>
      <c r="AZ14" s="96"/>
      <c r="BA14" s="80">
        <f t="shared" si="0"/>
        <v>0</v>
      </c>
      <c r="BB14" s="81"/>
      <c r="BC14" s="82">
        <f t="shared" si="1"/>
        <v>23</v>
      </c>
      <c r="BD14" s="81"/>
      <c r="BE14" s="83"/>
      <c r="BF14" s="80"/>
      <c r="BG14" s="80"/>
      <c r="BH14" s="80"/>
      <c r="BI14" s="80"/>
      <c r="BJ14" s="80"/>
      <c r="BK14" s="81"/>
    </row>
    <row r="15" ht="20" customHeight="1" spans="1:63">
      <c r="A15" s="84">
        <v>7</v>
      </c>
      <c r="B15" s="85"/>
      <c r="C15" s="86" t="s">
        <v>42</v>
      </c>
      <c r="D15" s="87"/>
      <c r="E15" s="87"/>
      <c r="F15" s="88"/>
      <c r="G15" s="89" t="s">
        <v>42</v>
      </c>
      <c r="H15" s="90" t="s">
        <v>43</v>
      </c>
      <c r="I15" s="91"/>
      <c r="J15" s="92"/>
      <c r="K15" s="92"/>
      <c r="L15" s="92"/>
      <c r="M15" s="92"/>
      <c r="N15" s="91"/>
      <c r="O15" s="93"/>
      <c r="P15" s="69"/>
      <c r="Q15" s="70"/>
      <c r="R15" s="70"/>
      <c r="S15" s="70"/>
      <c r="T15" s="71"/>
      <c r="U15" s="72"/>
      <c r="V15" s="73"/>
      <c r="W15" s="74"/>
      <c r="X15" s="72"/>
      <c r="Y15" s="71"/>
      <c r="Z15" s="72"/>
      <c r="AA15" s="71"/>
      <c r="AB15" s="72"/>
      <c r="AC15" s="70"/>
      <c r="AD15" s="70"/>
      <c r="AE15" s="71"/>
      <c r="AF15" s="72"/>
      <c r="AG15" s="75"/>
      <c r="AH15" s="71"/>
      <c r="AI15" s="76"/>
      <c r="AJ15" s="72"/>
      <c r="AK15" s="70"/>
      <c r="AL15" s="70" t="s">
        <v>19</v>
      </c>
      <c r="AM15" s="70"/>
      <c r="AN15" s="71" t="s">
        <v>19</v>
      </c>
      <c r="AO15" s="76"/>
      <c r="AP15" s="94"/>
      <c r="AQ15" s="92" t="s">
        <v>19</v>
      </c>
      <c r="AR15" s="92"/>
      <c r="AS15" s="91" t="s">
        <v>19</v>
      </c>
      <c r="AT15" s="91"/>
      <c r="AU15" s="91"/>
      <c r="AV15" s="91" t="s">
        <v>19</v>
      </c>
      <c r="AW15" s="91"/>
      <c r="AX15" s="91"/>
      <c r="AY15" s="95" t="s">
        <v>19</v>
      </c>
      <c r="AZ15" s="96"/>
      <c r="BA15" s="80">
        <f t="shared" si="0"/>
        <v>0</v>
      </c>
      <c r="BB15" s="81"/>
      <c r="BC15" s="82">
        <f t="shared" si="1"/>
        <v>23</v>
      </c>
      <c r="BD15" s="81"/>
      <c r="BE15" s="83" t="s">
        <v>19</v>
      </c>
      <c r="BF15" s="80"/>
      <c r="BG15" s="80"/>
      <c r="BH15" s="80"/>
      <c r="BI15" s="80"/>
      <c r="BJ15" s="80"/>
      <c r="BK15" s="81"/>
    </row>
    <row r="16" ht="20" customHeight="1" spans="1:63">
      <c r="A16" s="84">
        <v>8</v>
      </c>
      <c r="B16" s="85"/>
      <c r="C16" s="86" t="s">
        <v>44</v>
      </c>
      <c r="D16" s="87"/>
      <c r="E16" s="87"/>
      <c r="F16" s="88"/>
      <c r="G16" s="89" t="s">
        <v>44</v>
      </c>
      <c r="H16" s="90"/>
      <c r="I16" s="91"/>
      <c r="J16" s="92" t="s">
        <v>19</v>
      </c>
      <c r="K16" s="92"/>
      <c r="L16" s="92"/>
      <c r="M16" s="92"/>
      <c r="N16" s="91"/>
      <c r="O16" s="93"/>
      <c r="P16" s="69"/>
      <c r="Q16" s="70"/>
      <c r="R16" s="70">
        <v>1</v>
      </c>
      <c r="S16" s="70">
        <v>1</v>
      </c>
      <c r="T16" s="71"/>
      <c r="U16" s="72"/>
      <c r="V16" s="73"/>
      <c r="W16" s="74"/>
      <c r="X16" s="72"/>
      <c r="Y16" s="71"/>
      <c r="Z16" s="72"/>
      <c r="AA16" s="71"/>
      <c r="AB16" s="72"/>
      <c r="AC16" s="70"/>
      <c r="AD16" s="70"/>
      <c r="AE16" s="71"/>
      <c r="AF16" s="72"/>
      <c r="AG16" s="75"/>
      <c r="AH16" s="71">
        <v>1</v>
      </c>
      <c r="AI16" s="76"/>
      <c r="AJ16" s="72"/>
      <c r="AK16" s="70">
        <v>1</v>
      </c>
      <c r="AL16" s="70" t="s">
        <v>19</v>
      </c>
      <c r="AM16" s="70" t="s">
        <v>19</v>
      </c>
      <c r="AN16" s="71" t="s">
        <v>19</v>
      </c>
      <c r="AO16" s="76"/>
      <c r="AP16" s="94"/>
      <c r="AQ16" s="92" t="s">
        <v>19</v>
      </c>
      <c r="AR16" s="92"/>
      <c r="AS16" s="91" t="s">
        <v>19</v>
      </c>
      <c r="AT16" s="91"/>
      <c r="AU16" s="91"/>
      <c r="AV16" s="91" t="s">
        <v>19</v>
      </c>
      <c r="AW16" s="91"/>
      <c r="AX16" s="91"/>
      <c r="AY16" s="95" t="s">
        <v>19</v>
      </c>
      <c r="AZ16" s="96"/>
      <c r="BA16" s="80">
        <f t="shared" si="0"/>
        <v>4</v>
      </c>
      <c r="BB16" s="81"/>
      <c r="BC16" s="82">
        <f t="shared" si="1"/>
        <v>19</v>
      </c>
      <c r="BD16" s="81"/>
      <c r="BE16" s="83" t="s">
        <v>19</v>
      </c>
      <c r="BF16" s="80"/>
      <c r="BG16" s="80"/>
      <c r="BH16" s="80"/>
      <c r="BI16" s="80"/>
      <c r="BJ16" s="80"/>
      <c r="BK16" s="81"/>
    </row>
    <row r="17" ht="20" customHeight="1" spans="1:63">
      <c r="A17" s="84">
        <v>9</v>
      </c>
      <c r="B17" s="85"/>
      <c r="C17" s="86" t="s">
        <v>45</v>
      </c>
      <c r="D17" s="87"/>
      <c r="E17" s="87"/>
      <c r="F17" s="88"/>
      <c r="G17" s="89" t="s">
        <v>45</v>
      </c>
      <c r="H17" s="90"/>
      <c r="I17" s="91"/>
      <c r="J17" s="92"/>
      <c r="K17" s="92"/>
      <c r="L17" s="92"/>
      <c r="M17" s="92"/>
      <c r="N17" s="91"/>
      <c r="O17" s="93"/>
      <c r="P17" s="69"/>
      <c r="Q17" s="70"/>
      <c r="R17" s="70"/>
      <c r="S17" s="70"/>
      <c r="T17" s="71"/>
      <c r="U17" s="72"/>
      <c r="V17" s="73"/>
      <c r="W17" s="74"/>
      <c r="X17" s="72"/>
      <c r="Y17" s="71"/>
      <c r="Z17" s="72"/>
      <c r="AA17" s="71"/>
      <c r="AB17" s="72"/>
      <c r="AC17" s="70"/>
      <c r="AD17" s="70"/>
      <c r="AE17" s="71"/>
      <c r="AF17" s="72"/>
      <c r="AG17" s="75"/>
      <c r="AH17" s="71"/>
      <c r="AI17" s="76"/>
      <c r="AJ17" s="72"/>
      <c r="AK17" s="70"/>
      <c r="AL17" s="70" t="s">
        <v>19</v>
      </c>
      <c r="AM17" s="70" t="s">
        <v>19</v>
      </c>
      <c r="AN17" s="71" t="s">
        <v>19</v>
      </c>
      <c r="AO17" s="76"/>
      <c r="AP17" s="94" t="s">
        <v>19</v>
      </c>
      <c r="AQ17" s="92" t="s">
        <v>19</v>
      </c>
      <c r="AR17" s="92" t="s">
        <v>19</v>
      </c>
      <c r="AS17" s="91" t="s">
        <v>19</v>
      </c>
      <c r="AT17" s="91"/>
      <c r="AU17" s="91"/>
      <c r="AV17" s="91" t="s">
        <v>19</v>
      </c>
      <c r="AW17" s="91"/>
      <c r="AX17" s="91"/>
      <c r="AY17" s="95" t="s">
        <v>19</v>
      </c>
      <c r="AZ17" s="96"/>
      <c r="BA17" s="80">
        <f t="shared" si="0"/>
        <v>0</v>
      </c>
      <c r="BB17" s="81"/>
      <c r="BC17" s="82">
        <f t="shared" si="1"/>
        <v>23</v>
      </c>
      <c r="BD17" s="81"/>
      <c r="BE17" s="83" t="s">
        <v>19</v>
      </c>
      <c r="BF17" s="80"/>
      <c r="BG17" s="80"/>
      <c r="BH17" s="80"/>
      <c r="BI17" s="80"/>
      <c r="BJ17" s="80"/>
      <c r="BK17" s="81"/>
    </row>
    <row r="18" ht="20" customHeight="1" spans="1:63">
      <c r="A18" s="84">
        <v>10</v>
      </c>
      <c r="B18" s="85"/>
      <c r="C18" s="86" t="s">
        <v>46</v>
      </c>
      <c r="D18" s="87"/>
      <c r="E18" s="87"/>
      <c r="F18" s="88"/>
      <c r="G18" s="89" t="s">
        <v>46</v>
      </c>
      <c r="H18" s="90"/>
      <c r="I18" s="91"/>
      <c r="J18" s="92"/>
      <c r="K18" s="92"/>
      <c r="L18" s="92"/>
      <c r="M18" s="92"/>
      <c r="N18" s="91"/>
      <c r="O18" s="93"/>
      <c r="P18" s="69"/>
      <c r="Q18" s="70"/>
      <c r="R18" s="70"/>
      <c r="S18" s="70"/>
      <c r="T18" s="71"/>
      <c r="U18" s="72"/>
      <c r="V18" s="73"/>
      <c r="W18" s="74"/>
      <c r="X18" s="72"/>
      <c r="Y18" s="71"/>
      <c r="Z18" s="72"/>
      <c r="AA18" s="71"/>
      <c r="AB18" s="72"/>
      <c r="AC18" s="70"/>
      <c r="AD18" s="70"/>
      <c r="AE18" s="71"/>
      <c r="AF18" s="72"/>
      <c r="AG18" s="75"/>
      <c r="AH18" s="71"/>
      <c r="AI18" s="76"/>
      <c r="AJ18" s="72"/>
      <c r="AK18" s="70"/>
      <c r="AL18" s="70" t="s">
        <v>19</v>
      </c>
      <c r="AM18" s="70" t="s">
        <v>19</v>
      </c>
      <c r="AN18" s="71" t="s">
        <v>19</v>
      </c>
      <c r="AO18" s="76"/>
      <c r="AP18" s="94" t="s">
        <v>19</v>
      </c>
      <c r="AQ18" s="92" t="s">
        <v>19</v>
      </c>
      <c r="AR18" s="92" t="s">
        <v>19</v>
      </c>
      <c r="AS18" s="91" t="s">
        <v>19</v>
      </c>
      <c r="AT18" s="91"/>
      <c r="AU18" s="91"/>
      <c r="AV18" s="91" t="s">
        <v>19</v>
      </c>
      <c r="AW18" s="91"/>
      <c r="AX18" s="91"/>
      <c r="AY18" s="95" t="s">
        <v>19</v>
      </c>
      <c r="AZ18" s="96"/>
      <c r="BA18" s="80">
        <f t="shared" si="0"/>
        <v>0</v>
      </c>
      <c r="BB18" s="81"/>
      <c r="BC18" s="82">
        <f t="shared" si="1"/>
        <v>23</v>
      </c>
      <c r="BD18" s="81"/>
      <c r="BE18" s="83" t="s">
        <v>47</v>
      </c>
      <c r="BF18" s="80"/>
      <c r="BG18" s="80"/>
      <c r="BH18" s="80"/>
      <c r="BI18" s="80"/>
      <c r="BJ18" s="80"/>
      <c r="BK18" s="81"/>
    </row>
    <row r="19" ht="20" customHeight="1" spans="1:63">
      <c r="A19" s="84">
        <v>11</v>
      </c>
      <c r="B19" s="85"/>
      <c r="C19" s="86" t="s">
        <v>48</v>
      </c>
      <c r="D19" s="87"/>
      <c r="E19" s="87"/>
      <c r="F19" s="88"/>
      <c r="G19" s="89" t="s">
        <v>48</v>
      </c>
      <c r="H19" s="90"/>
      <c r="I19" s="91"/>
      <c r="J19" s="92"/>
      <c r="K19" s="92"/>
      <c r="L19" s="92"/>
      <c r="M19" s="92"/>
      <c r="N19" s="91"/>
      <c r="O19" s="93"/>
      <c r="P19" s="69"/>
      <c r="Q19" s="70"/>
      <c r="R19" s="70"/>
      <c r="S19" s="70"/>
      <c r="T19" s="71"/>
      <c r="U19" s="72"/>
      <c r="V19" s="73"/>
      <c r="W19" s="74"/>
      <c r="X19" s="72"/>
      <c r="Y19" s="71"/>
      <c r="Z19" s="72"/>
      <c r="AA19" s="71"/>
      <c r="AB19" s="72"/>
      <c r="AC19" s="70"/>
      <c r="AD19" s="70"/>
      <c r="AE19" s="71"/>
      <c r="AF19" s="72"/>
      <c r="AG19" s="75"/>
      <c r="AH19" s="71"/>
      <c r="AI19" s="76"/>
      <c r="AJ19" s="72"/>
      <c r="AK19" s="70"/>
      <c r="AL19" s="70" t="s">
        <v>19</v>
      </c>
      <c r="AM19" s="70" t="s">
        <v>19</v>
      </c>
      <c r="AN19" s="71" t="s">
        <v>19</v>
      </c>
      <c r="AO19" s="76"/>
      <c r="AP19" s="94" t="s">
        <v>19</v>
      </c>
      <c r="AQ19" s="92" t="s">
        <v>19</v>
      </c>
      <c r="AR19" s="92" t="s">
        <v>19</v>
      </c>
      <c r="AS19" s="91" t="s">
        <v>19</v>
      </c>
      <c r="AT19" s="91"/>
      <c r="AU19" s="91"/>
      <c r="AV19" s="91" t="s">
        <v>19</v>
      </c>
      <c r="AW19" s="91"/>
      <c r="AX19" s="91"/>
      <c r="AY19" s="95" t="s">
        <v>19</v>
      </c>
      <c r="AZ19" s="96"/>
      <c r="BA19" s="80">
        <f t="shared" si="0"/>
        <v>0</v>
      </c>
      <c r="BB19" s="81"/>
      <c r="BC19" s="82">
        <f t="shared" si="1"/>
        <v>23</v>
      </c>
      <c r="BD19" s="81"/>
      <c r="BE19" s="83" t="s">
        <v>19</v>
      </c>
      <c r="BF19" s="80"/>
      <c r="BG19" s="80"/>
      <c r="BH19" s="80"/>
      <c r="BI19" s="80"/>
      <c r="BJ19" s="80"/>
      <c r="BK19" s="81"/>
    </row>
    <row r="20" ht="20" customHeight="1" spans="1:63">
      <c r="A20" s="84">
        <v>12</v>
      </c>
      <c r="B20" s="85"/>
      <c r="C20" s="86" t="s">
        <v>49</v>
      </c>
      <c r="D20" s="87"/>
      <c r="E20" s="87"/>
      <c r="F20" s="88"/>
      <c r="G20" s="89" t="s">
        <v>49</v>
      </c>
      <c r="H20" s="90"/>
      <c r="I20" s="91"/>
      <c r="J20" s="92"/>
      <c r="K20" s="92"/>
      <c r="L20" s="92"/>
      <c r="M20" s="92"/>
      <c r="N20" s="91"/>
      <c r="O20" s="93"/>
      <c r="P20" s="69"/>
      <c r="Q20" s="70"/>
      <c r="R20" s="70"/>
      <c r="S20" s="70"/>
      <c r="T20" s="71"/>
      <c r="U20" s="72"/>
      <c r="V20" s="73"/>
      <c r="W20" s="74"/>
      <c r="X20" s="72"/>
      <c r="Y20" s="71">
        <v>1</v>
      </c>
      <c r="Z20" s="72"/>
      <c r="AA20" s="71">
        <v>1</v>
      </c>
      <c r="AB20" s="72"/>
      <c r="AC20" s="70">
        <v>1</v>
      </c>
      <c r="AD20" s="70">
        <v>1</v>
      </c>
      <c r="AE20" s="71"/>
      <c r="AF20" s="72"/>
      <c r="AG20" s="75"/>
      <c r="AH20" s="71">
        <v>1</v>
      </c>
      <c r="AI20" s="76"/>
      <c r="AJ20" s="72"/>
      <c r="AK20" s="70">
        <v>1</v>
      </c>
      <c r="AL20" s="70" t="s">
        <v>19</v>
      </c>
      <c r="AM20" s="70" t="s">
        <v>19</v>
      </c>
      <c r="AN20" s="71" t="s">
        <v>19</v>
      </c>
      <c r="AO20" s="76"/>
      <c r="AP20" s="94" t="s">
        <v>19</v>
      </c>
      <c r="AQ20" s="92" t="s">
        <v>19</v>
      </c>
      <c r="AR20" s="92" t="s">
        <v>19</v>
      </c>
      <c r="AS20" s="91" t="s">
        <v>19</v>
      </c>
      <c r="AT20" s="91"/>
      <c r="AU20" s="91"/>
      <c r="AV20" s="91" t="s">
        <v>19</v>
      </c>
      <c r="AW20" s="91"/>
      <c r="AX20" s="91"/>
      <c r="AY20" s="95" t="s">
        <v>19</v>
      </c>
      <c r="AZ20" s="96"/>
      <c r="BA20" s="80">
        <f t="shared" si="0"/>
        <v>6</v>
      </c>
      <c r="BB20" s="81"/>
      <c r="BC20" s="82">
        <f t="shared" si="1"/>
        <v>17</v>
      </c>
      <c r="BD20" s="81"/>
      <c r="BE20" s="83" t="s">
        <v>47</v>
      </c>
      <c r="BF20" s="80"/>
      <c r="BG20" s="80"/>
      <c r="BH20" s="80"/>
      <c r="BI20" s="80"/>
      <c r="BJ20" s="80"/>
      <c r="BK20" s="81"/>
    </row>
    <row r="21" ht="20" customHeight="1" spans="1:63">
      <c r="A21" s="84">
        <v>13</v>
      </c>
      <c r="B21" s="85"/>
      <c r="C21" s="86" t="s">
        <v>50</v>
      </c>
      <c r="D21" s="87"/>
      <c r="E21" s="87"/>
      <c r="F21" s="88"/>
      <c r="G21" s="89" t="s">
        <v>50</v>
      </c>
      <c r="H21" s="90"/>
      <c r="I21" s="91"/>
      <c r="J21" s="92"/>
      <c r="K21" s="92"/>
      <c r="L21" s="92"/>
      <c r="M21" s="92"/>
      <c r="N21" s="91"/>
      <c r="O21" s="93"/>
      <c r="P21" s="69"/>
      <c r="Q21" s="70"/>
      <c r="R21" s="70"/>
      <c r="S21" s="70"/>
      <c r="T21" s="71"/>
      <c r="U21" s="72"/>
      <c r="V21" s="73"/>
      <c r="W21" s="74"/>
      <c r="X21" s="72"/>
      <c r="Y21" s="71"/>
      <c r="Z21" s="72"/>
      <c r="AA21" s="71"/>
      <c r="AB21" s="72"/>
      <c r="AC21" s="70"/>
      <c r="AD21" s="70"/>
      <c r="AE21" s="71"/>
      <c r="AF21" s="72"/>
      <c r="AG21" s="75"/>
      <c r="AH21" s="71"/>
      <c r="AI21" s="76"/>
      <c r="AJ21" s="72"/>
      <c r="AK21" s="70"/>
      <c r="AL21" s="70" t="s">
        <v>19</v>
      </c>
      <c r="AM21" s="70" t="s">
        <v>19</v>
      </c>
      <c r="AN21" s="71" t="s">
        <v>19</v>
      </c>
      <c r="AO21" s="76"/>
      <c r="AP21" s="94" t="s">
        <v>19</v>
      </c>
      <c r="AQ21" s="92" t="s">
        <v>19</v>
      </c>
      <c r="AR21" s="92" t="s">
        <v>19</v>
      </c>
      <c r="AS21" s="91" t="s">
        <v>19</v>
      </c>
      <c r="AT21" s="91"/>
      <c r="AU21" s="91"/>
      <c r="AV21" s="91" t="s">
        <v>19</v>
      </c>
      <c r="AW21" s="91"/>
      <c r="AX21" s="91"/>
      <c r="AY21" s="95" t="s">
        <v>19</v>
      </c>
      <c r="AZ21" s="96"/>
      <c r="BA21" s="80">
        <f t="shared" si="0"/>
        <v>0</v>
      </c>
      <c r="BB21" s="81"/>
      <c r="BC21" s="82">
        <f t="shared" si="1"/>
        <v>23</v>
      </c>
      <c r="BD21" s="81"/>
      <c r="BE21" s="83" t="s">
        <v>19</v>
      </c>
      <c r="BF21" s="80"/>
      <c r="BG21" s="80"/>
      <c r="BH21" s="80"/>
      <c r="BI21" s="80"/>
      <c r="BJ21" s="80"/>
      <c r="BK21" s="81"/>
    </row>
    <row r="22" ht="20" customHeight="1" spans="1:63">
      <c r="A22" s="84">
        <v>14</v>
      </c>
      <c r="B22" s="85"/>
      <c r="C22" s="86" t="s">
        <v>51</v>
      </c>
      <c r="D22" s="87"/>
      <c r="E22" s="87"/>
      <c r="F22" s="88"/>
      <c r="G22" s="89" t="s">
        <v>51</v>
      </c>
      <c r="H22" s="90"/>
      <c r="I22" s="91"/>
      <c r="J22" s="92"/>
      <c r="K22" s="92"/>
      <c r="L22" s="92"/>
      <c r="M22" s="92"/>
      <c r="N22" s="91"/>
      <c r="O22" s="93"/>
      <c r="P22" s="69"/>
      <c r="Q22" s="70"/>
      <c r="R22" s="70"/>
      <c r="S22" s="70"/>
      <c r="T22" s="71"/>
      <c r="U22" s="72"/>
      <c r="V22" s="73"/>
      <c r="W22" s="74"/>
      <c r="X22" s="72"/>
      <c r="Y22" s="71"/>
      <c r="Z22" s="72"/>
      <c r="AA22" s="71"/>
      <c r="AB22" s="72"/>
      <c r="AC22" s="70"/>
      <c r="AD22" s="70"/>
      <c r="AE22" s="71"/>
      <c r="AF22" s="72"/>
      <c r="AG22" s="75"/>
      <c r="AH22" s="71"/>
      <c r="AI22" s="76"/>
      <c r="AJ22" s="72"/>
      <c r="AK22" s="70"/>
      <c r="AL22" s="70" t="s">
        <v>19</v>
      </c>
      <c r="AM22" s="70" t="s">
        <v>19</v>
      </c>
      <c r="AN22" s="71" t="s">
        <v>19</v>
      </c>
      <c r="AO22" s="76"/>
      <c r="AP22" s="94" t="s">
        <v>19</v>
      </c>
      <c r="AQ22" s="92" t="s">
        <v>19</v>
      </c>
      <c r="AR22" s="92" t="s">
        <v>19</v>
      </c>
      <c r="AS22" s="91" t="s">
        <v>19</v>
      </c>
      <c r="AT22" s="91"/>
      <c r="AU22" s="91"/>
      <c r="AV22" s="91" t="s">
        <v>19</v>
      </c>
      <c r="AW22" s="91"/>
      <c r="AX22" s="91"/>
      <c r="AY22" s="95" t="s">
        <v>19</v>
      </c>
      <c r="AZ22" s="96"/>
      <c r="BA22" s="80">
        <f t="shared" si="0"/>
        <v>0</v>
      </c>
      <c r="BB22" s="81"/>
      <c r="BC22" s="82">
        <f t="shared" si="1"/>
        <v>23</v>
      </c>
      <c r="BD22" s="81"/>
      <c r="BE22" s="83" t="s">
        <v>19</v>
      </c>
      <c r="BF22" s="80"/>
      <c r="BG22" s="80"/>
      <c r="BH22" s="80"/>
      <c r="BI22" s="80"/>
      <c r="BJ22" s="80"/>
      <c r="BK22" s="81"/>
    </row>
    <row r="23" ht="20" customHeight="1" spans="1:63">
      <c r="A23" s="84">
        <v>15</v>
      </c>
      <c r="B23" s="85"/>
      <c r="C23" s="86" t="s">
        <v>52</v>
      </c>
      <c r="D23" s="87"/>
      <c r="E23" s="87"/>
      <c r="F23" s="88"/>
      <c r="G23" s="89" t="s">
        <v>52</v>
      </c>
      <c r="H23" s="90"/>
      <c r="I23" s="91"/>
      <c r="J23" s="92"/>
      <c r="K23" s="92"/>
      <c r="L23" s="92"/>
      <c r="M23" s="92"/>
      <c r="N23" s="91"/>
      <c r="O23" s="93"/>
      <c r="P23" s="69"/>
      <c r="Q23" s="70"/>
      <c r="R23" s="70"/>
      <c r="S23" s="70"/>
      <c r="T23" s="71"/>
      <c r="U23" s="72"/>
      <c r="V23" s="73"/>
      <c r="W23" s="74"/>
      <c r="X23" s="72"/>
      <c r="Y23" s="71"/>
      <c r="Z23" s="72"/>
      <c r="AA23" s="71"/>
      <c r="AB23" s="72"/>
      <c r="AC23" s="70"/>
      <c r="AD23" s="70"/>
      <c r="AE23" s="71"/>
      <c r="AF23" s="72"/>
      <c r="AG23" s="75"/>
      <c r="AH23" s="71"/>
      <c r="AI23" s="76"/>
      <c r="AJ23" s="72"/>
      <c r="AK23" s="70"/>
      <c r="AL23" s="70" t="s">
        <v>19</v>
      </c>
      <c r="AM23" s="70" t="s">
        <v>19</v>
      </c>
      <c r="AN23" s="71" t="s">
        <v>19</v>
      </c>
      <c r="AO23" s="76"/>
      <c r="AP23" s="94" t="s">
        <v>19</v>
      </c>
      <c r="AQ23" s="92" t="s">
        <v>19</v>
      </c>
      <c r="AR23" s="92" t="s">
        <v>19</v>
      </c>
      <c r="AS23" s="91" t="s">
        <v>19</v>
      </c>
      <c r="AT23" s="91"/>
      <c r="AU23" s="91"/>
      <c r="AV23" s="91" t="s">
        <v>19</v>
      </c>
      <c r="AW23" s="91"/>
      <c r="AX23" s="91"/>
      <c r="AY23" s="95" t="s">
        <v>19</v>
      </c>
      <c r="AZ23" s="96"/>
      <c r="BA23" s="80">
        <f t="shared" si="0"/>
        <v>0</v>
      </c>
      <c r="BB23" s="81"/>
      <c r="BC23" s="82">
        <f t="shared" si="1"/>
        <v>23</v>
      </c>
      <c r="BD23" s="81"/>
      <c r="BE23" s="83" t="s">
        <v>19</v>
      </c>
      <c r="BF23" s="80"/>
      <c r="BG23" s="80"/>
      <c r="BH23" s="80"/>
      <c r="BI23" s="80"/>
      <c r="BJ23" s="80"/>
      <c r="BK23" s="81"/>
    </row>
    <row r="24" ht="20" customHeight="1" spans="1:63">
      <c r="A24" s="84">
        <v>16</v>
      </c>
      <c r="B24" s="85"/>
      <c r="C24" s="97" t="s">
        <v>53</v>
      </c>
      <c r="D24" s="98"/>
      <c r="E24" s="98"/>
      <c r="F24" s="99"/>
      <c r="G24" s="89" t="s">
        <v>53</v>
      </c>
      <c r="H24" s="90"/>
      <c r="I24" s="91"/>
      <c r="J24" s="92"/>
      <c r="K24" s="92"/>
      <c r="L24" s="92"/>
      <c r="M24" s="92"/>
      <c r="N24" s="91"/>
      <c r="O24" s="93"/>
      <c r="P24" s="69"/>
      <c r="Q24" s="70"/>
      <c r="R24" s="70"/>
      <c r="S24" s="70"/>
      <c r="T24" s="71"/>
      <c r="U24" s="72"/>
      <c r="V24" s="73"/>
      <c r="W24" s="74"/>
      <c r="X24" s="72"/>
      <c r="Y24" s="71"/>
      <c r="Z24" s="72"/>
      <c r="AA24" s="71"/>
      <c r="AB24" s="72"/>
      <c r="AC24" s="70"/>
      <c r="AD24" s="70"/>
      <c r="AE24" s="71"/>
      <c r="AF24" s="72"/>
      <c r="AG24" s="75"/>
      <c r="AH24" s="71"/>
      <c r="AI24" s="76"/>
      <c r="AJ24" s="72"/>
      <c r="AK24" s="70"/>
      <c r="AL24" s="70"/>
      <c r="AM24" s="70"/>
      <c r="AN24" s="71"/>
      <c r="AO24" s="76"/>
      <c r="AP24" s="94" t="s">
        <v>19</v>
      </c>
      <c r="AQ24" s="92" t="s">
        <v>19</v>
      </c>
      <c r="AR24" s="92" t="s">
        <v>19</v>
      </c>
      <c r="AS24" s="91" t="s">
        <v>19</v>
      </c>
      <c r="AT24" s="91"/>
      <c r="AU24" s="91"/>
      <c r="AV24" s="91" t="s">
        <v>19</v>
      </c>
      <c r="AW24" s="91"/>
      <c r="AX24" s="91"/>
      <c r="AY24" s="95" t="s">
        <v>19</v>
      </c>
      <c r="AZ24" s="96"/>
      <c r="BA24" s="80">
        <f t="shared" si="0"/>
        <v>0</v>
      </c>
      <c r="BB24" s="81"/>
      <c r="BC24" s="82">
        <f t="shared" ref="BC24:BC29" si="2">SUM(23-BA24)</f>
        <v>23</v>
      </c>
      <c r="BD24" s="81"/>
      <c r="BE24" s="83"/>
      <c r="BF24" s="80"/>
      <c r="BG24" s="80"/>
      <c r="BH24" s="80"/>
      <c r="BI24" s="80"/>
      <c r="BJ24" s="80"/>
      <c r="BK24" s="81"/>
    </row>
    <row r="25" ht="20" customHeight="1" spans="1:63">
      <c r="A25" s="84">
        <v>17</v>
      </c>
      <c r="B25" s="85"/>
      <c r="C25" s="100" t="s">
        <v>54</v>
      </c>
      <c r="D25" s="101"/>
      <c r="E25" s="101"/>
      <c r="F25" s="101"/>
      <c r="G25" s="101"/>
      <c r="H25" s="90"/>
      <c r="I25" s="91"/>
      <c r="J25" s="92">
        <v>1</v>
      </c>
      <c r="K25" s="92">
        <v>1</v>
      </c>
      <c r="L25" s="92">
        <v>1</v>
      </c>
      <c r="M25" s="92"/>
      <c r="N25" s="91"/>
      <c r="O25" s="93"/>
      <c r="P25" s="69"/>
      <c r="Q25" s="70">
        <v>1</v>
      </c>
      <c r="R25" s="70">
        <v>1</v>
      </c>
      <c r="S25" s="70">
        <v>1</v>
      </c>
      <c r="T25" s="71"/>
      <c r="U25" s="72"/>
      <c r="V25" s="73"/>
      <c r="W25" s="74"/>
      <c r="X25" s="72"/>
      <c r="Y25" s="71">
        <v>1</v>
      </c>
      <c r="Z25" s="72"/>
      <c r="AA25" s="71">
        <v>1</v>
      </c>
      <c r="AB25" s="72"/>
      <c r="AC25" s="70">
        <v>1</v>
      </c>
      <c r="AD25" s="70">
        <v>1</v>
      </c>
      <c r="AE25" s="71"/>
      <c r="AF25" s="72"/>
      <c r="AG25" s="75"/>
      <c r="AH25" s="71">
        <v>1</v>
      </c>
      <c r="AI25" s="76"/>
      <c r="AJ25" s="72"/>
      <c r="AK25" s="70">
        <v>1</v>
      </c>
      <c r="AL25" s="70"/>
      <c r="AM25" s="70">
        <v>1</v>
      </c>
      <c r="AN25" s="71" t="s">
        <v>19</v>
      </c>
      <c r="AO25" s="76"/>
      <c r="AP25" s="94" t="s">
        <v>19</v>
      </c>
      <c r="AQ25" s="92" t="s">
        <v>19</v>
      </c>
      <c r="AR25" s="92" t="s">
        <v>19</v>
      </c>
      <c r="AS25" s="91" t="s">
        <v>19</v>
      </c>
      <c r="AT25" s="91"/>
      <c r="AU25" s="91"/>
      <c r="AV25" s="91" t="s">
        <v>19</v>
      </c>
      <c r="AW25" s="91"/>
      <c r="AX25" s="91"/>
      <c r="AY25" s="95" t="s">
        <v>19</v>
      </c>
      <c r="AZ25" s="96"/>
      <c r="BA25" s="80">
        <f t="shared" si="0"/>
        <v>13</v>
      </c>
      <c r="BB25" s="81"/>
      <c r="BC25" s="82">
        <f t="shared" si="2"/>
        <v>10</v>
      </c>
      <c r="BD25" s="81"/>
      <c r="BE25" s="83"/>
      <c r="BF25" s="80"/>
      <c r="BG25" s="80"/>
      <c r="BH25" s="80"/>
      <c r="BI25" s="80"/>
      <c r="BJ25" s="80"/>
      <c r="BK25" s="81"/>
    </row>
    <row r="26" ht="20" customHeight="1" spans="1:63">
      <c r="A26" s="84">
        <v>18</v>
      </c>
      <c r="B26" s="85"/>
      <c r="C26" s="102" t="s">
        <v>55</v>
      </c>
      <c r="D26" s="103"/>
      <c r="E26" s="103"/>
      <c r="F26" s="103"/>
      <c r="H26" s="90"/>
      <c r="I26" s="91"/>
      <c r="J26" s="92"/>
      <c r="K26" s="92"/>
      <c r="L26" s="92"/>
      <c r="M26" s="92"/>
      <c r="N26" s="91"/>
      <c r="O26" s="93"/>
      <c r="P26" s="69"/>
      <c r="Q26" s="70"/>
      <c r="R26" s="70"/>
      <c r="S26" s="70"/>
      <c r="T26" s="71"/>
      <c r="U26" s="72"/>
      <c r="V26" s="73"/>
      <c r="W26" s="74"/>
      <c r="X26" s="72"/>
      <c r="Y26" s="71"/>
      <c r="Z26" s="72"/>
      <c r="AA26" s="71"/>
      <c r="AB26" s="72"/>
      <c r="AC26" s="70"/>
      <c r="AD26" s="70"/>
      <c r="AE26" s="71"/>
      <c r="AF26" s="72"/>
      <c r="AG26" s="75"/>
      <c r="AH26" s="71"/>
      <c r="AI26" s="76"/>
      <c r="AJ26" s="72"/>
      <c r="AK26" s="70"/>
      <c r="AL26" s="70"/>
      <c r="AM26" s="70"/>
      <c r="AN26" s="71"/>
      <c r="AO26" s="76"/>
      <c r="AP26" s="94" t="s">
        <v>19</v>
      </c>
      <c r="AQ26" s="92" t="s">
        <v>19</v>
      </c>
      <c r="AR26" s="92" t="s">
        <v>19</v>
      </c>
      <c r="AS26" s="91" t="s">
        <v>19</v>
      </c>
      <c r="AT26" s="91"/>
      <c r="AU26" s="91"/>
      <c r="AV26" s="91" t="s">
        <v>19</v>
      </c>
      <c r="AW26" s="91"/>
      <c r="AX26" s="91"/>
      <c r="AY26" s="95" t="s">
        <v>19</v>
      </c>
      <c r="AZ26" s="96"/>
      <c r="BA26" s="80">
        <f t="shared" si="0"/>
        <v>0</v>
      </c>
      <c r="BB26" s="81"/>
      <c r="BC26" s="82">
        <f t="shared" si="2"/>
        <v>23</v>
      </c>
      <c r="BD26" s="81"/>
      <c r="BE26" s="83" t="s">
        <v>56</v>
      </c>
      <c r="BF26" s="80"/>
      <c r="BG26" s="80"/>
      <c r="BH26" s="80"/>
      <c r="BI26" s="80"/>
      <c r="BJ26" s="80"/>
      <c r="BK26" s="81"/>
    </row>
    <row r="27" ht="20" customHeight="1" spans="1:63">
      <c r="A27" s="84"/>
      <c r="B27" s="85"/>
      <c r="C27" s="104"/>
      <c r="D27" s="105"/>
      <c r="E27" s="105"/>
      <c r="F27" s="105"/>
      <c r="G27" s="106"/>
      <c r="H27" s="90"/>
      <c r="I27" s="91"/>
      <c r="J27" s="92"/>
      <c r="K27" s="92"/>
      <c r="L27" s="92"/>
      <c r="M27" s="92"/>
      <c r="N27" s="91"/>
      <c r="O27" s="93"/>
      <c r="P27" s="69"/>
      <c r="Q27" s="70"/>
      <c r="R27" s="70" t="s">
        <v>19</v>
      </c>
      <c r="S27" s="70" t="s">
        <v>19</v>
      </c>
      <c r="T27" s="71" t="s">
        <v>19</v>
      </c>
      <c r="U27" s="72"/>
      <c r="V27" s="73" t="s">
        <v>19</v>
      </c>
      <c r="W27" s="74" t="s">
        <v>19</v>
      </c>
      <c r="X27" s="72"/>
      <c r="Y27" s="71" t="s">
        <v>19</v>
      </c>
      <c r="Z27" s="72"/>
      <c r="AA27" s="71" t="s">
        <v>19</v>
      </c>
      <c r="AB27" s="72"/>
      <c r="AC27" s="70" t="s">
        <v>19</v>
      </c>
      <c r="AD27" s="70" t="s">
        <v>19</v>
      </c>
      <c r="AE27" s="71" t="s">
        <v>19</v>
      </c>
      <c r="AF27" s="72"/>
      <c r="AG27" s="75"/>
      <c r="AH27" s="71"/>
      <c r="AI27" s="76"/>
      <c r="AJ27" s="72"/>
      <c r="AK27" s="70"/>
      <c r="AL27" s="70"/>
      <c r="AM27" s="70"/>
      <c r="AN27" s="71" t="s">
        <v>19</v>
      </c>
      <c r="AO27" s="76"/>
      <c r="AP27" s="94" t="s">
        <v>19</v>
      </c>
      <c r="AQ27" s="92" t="s">
        <v>19</v>
      </c>
      <c r="AR27" s="92" t="s">
        <v>19</v>
      </c>
      <c r="AS27" s="91" t="s">
        <v>19</v>
      </c>
      <c r="AT27" s="91"/>
      <c r="AU27" s="91"/>
      <c r="AV27" s="91" t="s">
        <v>19</v>
      </c>
      <c r="AW27" s="91"/>
      <c r="AX27" s="91"/>
      <c r="AY27" s="95" t="s">
        <v>19</v>
      </c>
      <c r="AZ27" s="96"/>
      <c r="BA27" s="80">
        <f t="shared" si="0"/>
        <v>0</v>
      </c>
      <c r="BB27" s="81"/>
      <c r="BC27" s="82">
        <f t="shared" si="2"/>
        <v>23</v>
      </c>
      <c r="BD27" s="81"/>
      <c r="BE27" s="83" t="s">
        <v>19</v>
      </c>
      <c r="BF27" s="80"/>
      <c r="BG27" s="80"/>
      <c r="BH27" s="80"/>
      <c r="BI27" s="80"/>
      <c r="BJ27" s="80"/>
      <c r="BK27" s="81"/>
    </row>
    <row r="28" ht="20" customHeight="1" spans="1:63">
      <c r="A28" s="84"/>
      <c r="B28" s="85"/>
      <c r="C28" s="107"/>
      <c r="D28" s="106"/>
      <c r="E28" s="106"/>
      <c r="F28" s="106"/>
      <c r="G28" s="106"/>
      <c r="H28" s="90"/>
      <c r="I28" s="91"/>
      <c r="J28" s="92"/>
      <c r="K28" s="92"/>
      <c r="L28" s="92"/>
      <c r="M28" s="92"/>
      <c r="N28" s="91"/>
      <c r="O28" s="93"/>
      <c r="P28" s="69"/>
      <c r="Q28" s="70"/>
      <c r="R28" s="70" t="s">
        <v>19</v>
      </c>
      <c r="S28" s="70" t="s">
        <v>19</v>
      </c>
      <c r="T28" s="71" t="s">
        <v>19</v>
      </c>
      <c r="U28" s="72"/>
      <c r="V28" s="73" t="s">
        <v>19</v>
      </c>
      <c r="W28" s="74" t="s">
        <v>19</v>
      </c>
      <c r="X28" s="72"/>
      <c r="Y28" s="71" t="s">
        <v>19</v>
      </c>
      <c r="Z28" s="72"/>
      <c r="AA28" s="71" t="s">
        <v>19</v>
      </c>
      <c r="AB28" s="72"/>
      <c r="AC28" s="70" t="s">
        <v>19</v>
      </c>
      <c r="AD28" s="70" t="s">
        <v>19</v>
      </c>
      <c r="AE28" s="71" t="s">
        <v>19</v>
      </c>
      <c r="AF28" s="72"/>
      <c r="AG28" s="75" t="s">
        <v>19</v>
      </c>
      <c r="AH28" s="71" t="s">
        <v>19</v>
      </c>
      <c r="AI28" s="76"/>
      <c r="AJ28" s="72"/>
      <c r="AK28" s="70" t="s">
        <v>19</v>
      </c>
      <c r="AL28" s="70" t="s">
        <v>19</v>
      </c>
      <c r="AM28" s="70" t="s">
        <v>19</v>
      </c>
      <c r="AN28" s="71" t="s">
        <v>19</v>
      </c>
      <c r="AO28" s="76"/>
      <c r="AP28" s="94" t="s">
        <v>19</v>
      </c>
      <c r="AQ28" s="92" t="s">
        <v>19</v>
      </c>
      <c r="AR28" s="92" t="s">
        <v>19</v>
      </c>
      <c r="AS28" s="91" t="s">
        <v>19</v>
      </c>
      <c r="AT28" s="91"/>
      <c r="AU28" s="91"/>
      <c r="AV28" s="91" t="s">
        <v>19</v>
      </c>
      <c r="AW28" s="91"/>
      <c r="AX28" s="91"/>
      <c r="AY28" s="95" t="s">
        <v>19</v>
      </c>
      <c r="AZ28" s="96"/>
      <c r="BA28" s="80">
        <f t="shared" si="0"/>
        <v>0</v>
      </c>
      <c r="BB28" s="81"/>
      <c r="BC28" s="82">
        <f t="shared" si="2"/>
        <v>23</v>
      </c>
      <c r="BD28" s="81"/>
      <c r="BE28" s="83"/>
      <c r="BF28" s="80"/>
      <c r="BG28" s="80"/>
      <c r="BH28" s="80"/>
      <c r="BI28" s="80"/>
      <c r="BJ28" s="80"/>
      <c r="BK28" s="81"/>
    </row>
    <row r="29" ht="20" customHeight="1" spans="1:63">
      <c r="A29" s="84"/>
      <c r="B29" s="85"/>
      <c r="C29" s="107"/>
      <c r="D29" s="106"/>
      <c r="E29" s="106"/>
      <c r="F29" s="106"/>
      <c r="G29" s="106"/>
      <c r="H29" s="108"/>
      <c r="I29" s="109"/>
      <c r="J29" s="110" t="s">
        <v>19</v>
      </c>
      <c r="K29" s="110" t="s">
        <v>19</v>
      </c>
      <c r="L29" s="110" t="s">
        <v>19</v>
      </c>
      <c r="M29" s="110" t="s">
        <v>19</v>
      </c>
      <c r="N29" s="109" t="s">
        <v>19</v>
      </c>
      <c r="O29" s="111"/>
      <c r="P29" s="112" t="s">
        <v>19</v>
      </c>
      <c r="Q29" s="113" t="s">
        <v>19</v>
      </c>
      <c r="R29" s="113" t="s">
        <v>19</v>
      </c>
      <c r="S29" s="113" t="s">
        <v>19</v>
      </c>
      <c r="T29" s="114" t="s">
        <v>19</v>
      </c>
      <c r="U29" s="115"/>
      <c r="V29" s="116" t="s">
        <v>19</v>
      </c>
      <c r="W29" s="117" t="s">
        <v>19</v>
      </c>
      <c r="X29" s="115"/>
      <c r="Y29" s="114" t="s">
        <v>19</v>
      </c>
      <c r="Z29" s="115"/>
      <c r="AA29" s="114" t="s">
        <v>19</v>
      </c>
      <c r="AB29" s="115"/>
      <c r="AC29" s="113" t="s">
        <v>19</v>
      </c>
      <c r="AD29" s="113" t="s">
        <v>19</v>
      </c>
      <c r="AE29" s="114" t="s">
        <v>19</v>
      </c>
      <c r="AF29" s="115"/>
      <c r="AG29" s="118" t="s">
        <v>19</v>
      </c>
      <c r="AH29" s="114" t="s">
        <v>19</v>
      </c>
      <c r="AI29" s="119"/>
      <c r="AJ29" s="115"/>
      <c r="AK29" s="113" t="s">
        <v>19</v>
      </c>
      <c r="AL29" s="113" t="s">
        <v>19</v>
      </c>
      <c r="AM29" s="113" t="s">
        <v>19</v>
      </c>
      <c r="AN29" s="114" t="s">
        <v>19</v>
      </c>
      <c r="AO29" s="119"/>
      <c r="AP29" s="120" t="s">
        <v>19</v>
      </c>
      <c r="AQ29" s="110" t="s">
        <v>19</v>
      </c>
      <c r="AR29" s="110" t="s">
        <v>19</v>
      </c>
      <c r="AS29" s="109" t="s">
        <v>19</v>
      </c>
      <c r="AT29" s="109"/>
      <c r="AU29" s="109"/>
      <c r="AV29" s="109" t="s">
        <v>19</v>
      </c>
      <c r="AW29" s="109"/>
      <c r="AX29" s="109"/>
      <c r="AY29" s="121" t="s">
        <v>19</v>
      </c>
      <c r="AZ29" s="122"/>
      <c r="BA29" s="80">
        <f t="shared" si="0"/>
        <v>0</v>
      </c>
      <c r="BB29" s="81"/>
      <c r="BC29" s="82">
        <f t="shared" si="2"/>
        <v>23</v>
      </c>
      <c r="BD29" s="81"/>
      <c r="BE29" s="83" t="s">
        <v>19</v>
      </c>
      <c r="BF29" s="80"/>
      <c r="BG29" s="80"/>
      <c r="BH29" s="80"/>
      <c r="BI29" s="80"/>
      <c r="BJ29" s="80"/>
      <c r="BK29" s="81"/>
    </row>
    <row r="30" ht="20" customHeight="1" spans="1:63">
      <c r="A30" s="123">
        <v>18</v>
      </c>
      <c r="B30" s="124"/>
      <c r="C30" s="125" t="s">
        <v>57</v>
      </c>
      <c r="D30" s="126"/>
      <c r="E30" s="126"/>
      <c r="F30" s="126"/>
      <c r="G30" s="126"/>
      <c r="H30" s="127"/>
      <c r="I30" s="128"/>
      <c r="J30" s="129">
        <f>SUM(J9:J29)-18</f>
        <v>-16</v>
      </c>
      <c r="K30" s="129">
        <f>SUM(K9:K29)-18</f>
        <v>-16</v>
      </c>
      <c r="L30" s="129">
        <f>SUM(L9:L29)-18</f>
        <v>-17</v>
      </c>
      <c r="M30" s="129">
        <f>SUM(M9:M29)-18</f>
        <v>-18</v>
      </c>
      <c r="N30" s="128"/>
      <c r="O30" s="130"/>
      <c r="P30" s="129">
        <f t="shared" ref="P30:U30" si="3">SUM(P9:P29)-18</f>
        <v>-18</v>
      </c>
      <c r="Q30" s="131">
        <f t="shared" si="3"/>
        <v>-14</v>
      </c>
      <c r="R30" s="131">
        <f t="shared" si="3"/>
        <v>-13</v>
      </c>
      <c r="S30" s="131">
        <f t="shared" si="3"/>
        <v>-14</v>
      </c>
      <c r="T30" s="132">
        <f t="shared" si="3"/>
        <v>-16</v>
      </c>
      <c r="U30" s="133">
        <f t="shared" si="3"/>
        <v>-18</v>
      </c>
      <c r="V30" s="134"/>
      <c r="W30" s="132">
        <f t="shared" ref="W30:AD30" si="4">SUM(W9:W29)-18</f>
        <v>-18</v>
      </c>
      <c r="X30" s="133">
        <f t="shared" si="4"/>
        <v>-18</v>
      </c>
      <c r="Y30" s="132">
        <f t="shared" si="4"/>
        <v>-14</v>
      </c>
      <c r="Z30" s="133">
        <f t="shared" si="4"/>
        <v>-18</v>
      </c>
      <c r="AA30" s="132">
        <f t="shared" si="4"/>
        <v>-14</v>
      </c>
      <c r="AB30" s="133">
        <f t="shared" si="4"/>
        <v>-18</v>
      </c>
      <c r="AC30" s="135">
        <f t="shared" si="4"/>
        <v>-14</v>
      </c>
      <c r="AD30" s="135">
        <f t="shared" si="4"/>
        <v>-15</v>
      </c>
      <c r="AE30" s="132"/>
      <c r="AF30" s="136"/>
      <c r="AG30" s="129">
        <f t="shared" ref="AG30:AM30" si="5">SUM(AG9:AG29)-18</f>
        <v>-18</v>
      </c>
      <c r="AH30" s="137">
        <f t="shared" si="5"/>
        <v>-15</v>
      </c>
      <c r="AI30" s="138"/>
      <c r="AJ30" s="139"/>
      <c r="AK30" s="129">
        <f t="shared" si="5"/>
        <v>-15</v>
      </c>
      <c r="AL30" s="129">
        <f t="shared" si="5"/>
        <v>-18</v>
      </c>
      <c r="AM30" s="129">
        <f t="shared" si="5"/>
        <v>-16</v>
      </c>
      <c r="AN30" s="132"/>
      <c r="AO30" s="140"/>
      <c r="AP30" s="129">
        <f>SUM(AP9:AP29)-18</f>
        <v>-18</v>
      </c>
      <c r="AQ30" s="129">
        <f>SUM(AQ9:AQ29)-18</f>
        <v>-15</v>
      </c>
      <c r="AR30" s="129">
        <f>SUM(AR9:AR29)-18</f>
        <v>-17</v>
      </c>
      <c r="AS30" s="128"/>
      <c r="AT30" s="128"/>
      <c r="AU30" s="128"/>
      <c r="AV30" s="128"/>
      <c r="AW30" s="128"/>
      <c r="AX30" s="128"/>
      <c r="AY30" s="128" t="s">
        <v>19</v>
      </c>
      <c r="AZ30" s="130"/>
      <c r="BA30" s="141">
        <f>SUM(H30:AV30)</f>
        <v>-421</v>
      </c>
      <c r="BB30" s="142"/>
      <c r="BC30" s="143">
        <f>SUM(BC9:BD29)</f>
        <v>433</v>
      </c>
      <c r="BD30" s="142"/>
      <c r="BE30" s="143" t="s">
        <v>19</v>
      </c>
      <c r="BF30" s="141"/>
      <c r="BG30" s="141"/>
      <c r="BH30" s="141"/>
      <c r="BI30" s="141"/>
      <c r="BJ30" s="141"/>
      <c r="BK30" s="142"/>
    </row>
    <row r="31" ht="20" customHeight="1" spans="1:63">
      <c r="A31" s="144">
        <v>1</v>
      </c>
      <c r="B31" s="145"/>
      <c r="C31" s="146" t="s">
        <v>58</v>
      </c>
      <c r="D31" s="147"/>
      <c r="E31" s="147"/>
      <c r="F31" s="148"/>
      <c r="G31" s="149" t="s">
        <v>58</v>
      </c>
      <c r="H31" s="150"/>
      <c r="I31" s="151"/>
      <c r="J31" s="152">
        <v>1</v>
      </c>
      <c r="K31" s="152">
        <v>1</v>
      </c>
      <c r="L31" s="152"/>
      <c r="M31" s="152"/>
      <c r="N31" s="153"/>
      <c r="O31" s="154"/>
      <c r="P31" s="155" t="s">
        <v>19</v>
      </c>
      <c r="Q31" s="152" t="s">
        <v>19</v>
      </c>
      <c r="R31" s="152" t="s">
        <v>19</v>
      </c>
      <c r="S31" s="152">
        <v>1</v>
      </c>
      <c r="T31" s="153">
        <v>1</v>
      </c>
      <c r="U31" s="151"/>
      <c r="V31" s="156" t="s">
        <v>19</v>
      </c>
      <c r="W31" s="157" t="s">
        <v>19</v>
      </c>
      <c r="X31" s="151"/>
      <c r="Y31" s="153" t="s">
        <v>19</v>
      </c>
      <c r="Z31" s="151"/>
      <c r="AA31" s="153" t="s">
        <v>19</v>
      </c>
      <c r="AB31" s="151"/>
      <c r="AC31" s="152">
        <v>1</v>
      </c>
      <c r="AD31" s="152">
        <v>1</v>
      </c>
      <c r="AE31" s="153" t="s">
        <v>19</v>
      </c>
      <c r="AF31" s="151"/>
      <c r="AG31" s="158" t="s">
        <v>19</v>
      </c>
      <c r="AH31" s="153" t="s">
        <v>19</v>
      </c>
      <c r="AI31" s="159"/>
      <c r="AJ31" s="151"/>
      <c r="AK31" s="152">
        <v>1</v>
      </c>
      <c r="AL31" s="152">
        <v>1</v>
      </c>
      <c r="AM31" s="152"/>
      <c r="AN31" s="153" t="s">
        <v>19</v>
      </c>
      <c r="AO31" s="151"/>
      <c r="AP31" s="158" t="s">
        <v>19</v>
      </c>
      <c r="AQ31" s="152" t="s">
        <v>19</v>
      </c>
      <c r="AR31" s="152" t="s">
        <v>19</v>
      </c>
      <c r="AS31" s="153" t="s">
        <v>19</v>
      </c>
      <c r="AT31" s="159"/>
      <c r="AU31" s="151"/>
      <c r="AV31" s="153" t="s">
        <v>19</v>
      </c>
      <c r="AW31" s="159"/>
      <c r="AX31" s="151"/>
      <c r="AY31" s="153" t="s">
        <v>19</v>
      </c>
      <c r="AZ31" s="151"/>
      <c r="BA31" s="80">
        <f>SUM(G31:AZ31)</f>
        <v>8</v>
      </c>
      <c r="BB31" s="81"/>
      <c r="BC31" s="82">
        <f>SUM(23-BA31)</f>
        <v>15</v>
      </c>
      <c r="BD31" s="81"/>
      <c r="BE31" s="83" t="s">
        <v>19</v>
      </c>
      <c r="BF31" s="80"/>
      <c r="BG31" s="80"/>
      <c r="BH31" s="80"/>
      <c r="BI31" s="80"/>
      <c r="BJ31" s="80"/>
      <c r="BK31" s="81"/>
    </row>
    <row r="32" ht="20" customHeight="1" spans="1:63">
      <c r="A32" s="160">
        <v>2</v>
      </c>
      <c r="B32" s="161"/>
      <c r="C32" s="162" t="s">
        <v>59</v>
      </c>
      <c r="D32" s="87"/>
      <c r="E32" s="87"/>
      <c r="F32" s="88"/>
      <c r="G32" s="163" t="s">
        <v>59</v>
      </c>
      <c r="H32" s="164"/>
      <c r="I32" s="72"/>
      <c r="J32" s="70"/>
      <c r="K32" s="70"/>
      <c r="L32" s="70"/>
      <c r="M32" s="70"/>
      <c r="N32" s="71"/>
      <c r="O32" s="165"/>
      <c r="P32" s="69"/>
      <c r="Q32" s="70"/>
      <c r="R32" s="70"/>
      <c r="S32" s="70"/>
      <c r="T32" s="71"/>
      <c r="U32" s="72"/>
      <c r="V32" s="73"/>
      <c r="W32" s="74"/>
      <c r="X32" s="72"/>
      <c r="Y32" s="71"/>
      <c r="Z32" s="72"/>
      <c r="AA32" s="71"/>
      <c r="AB32" s="72"/>
      <c r="AC32" s="70"/>
      <c r="AD32" s="70"/>
      <c r="AE32" s="71"/>
      <c r="AF32" s="72"/>
      <c r="AG32" s="75"/>
      <c r="AH32" s="71"/>
      <c r="AI32" s="76"/>
      <c r="AJ32" s="72"/>
      <c r="AK32" s="70"/>
      <c r="AL32" s="70"/>
      <c r="AM32" s="70"/>
      <c r="AN32" s="71" t="s">
        <v>19</v>
      </c>
      <c r="AO32" s="72"/>
      <c r="AP32" s="75" t="s">
        <v>19</v>
      </c>
      <c r="AQ32" s="70" t="s">
        <v>19</v>
      </c>
      <c r="AR32" s="70" t="s">
        <v>19</v>
      </c>
      <c r="AS32" s="71" t="s">
        <v>19</v>
      </c>
      <c r="AT32" s="76"/>
      <c r="AU32" s="72"/>
      <c r="AV32" s="71" t="s">
        <v>19</v>
      </c>
      <c r="AW32" s="76"/>
      <c r="AX32" s="72"/>
      <c r="AY32" s="71" t="s">
        <v>19</v>
      </c>
      <c r="AZ32" s="72"/>
      <c r="BA32" s="80">
        <f t="shared" ref="BA32:BA38" si="6">SUM(G32:AZ32)</f>
        <v>0</v>
      </c>
      <c r="BB32" s="81"/>
      <c r="BC32" s="82">
        <f t="shared" ref="BC32:BC54" si="7">SUM(23-BA32)</f>
        <v>23</v>
      </c>
      <c r="BD32" s="81"/>
      <c r="BE32" s="83" t="s">
        <v>19</v>
      </c>
      <c r="BF32" s="80"/>
      <c r="BG32" s="80"/>
      <c r="BH32" s="80"/>
      <c r="BI32" s="80"/>
      <c r="BJ32" s="80"/>
      <c r="BK32" s="81"/>
    </row>
    <row r="33" ht="20" customHeight="1" spans="1:63">
      <c r="A33" s="160">
        <v>3</v>
      </c>
      <c r="B33" s="161"/>
      <c r="C33" s="162" t="s">
        <v>60</v>
      </c>
      <c r="D33" s="87"/>
      <c r="E33" s="87"/>
      <c r="F33" s="88"/>
      <c r="G33" s="163" t="s">
        <v>61</v>
      </c>
      <c r="H33" s="164"/>
      <c r="I33" s="72"/>
      <c r="J33" s="70"/>
      <c r="K33" s="70"/>
      <c r="L33" s="70"/>
      <c r="M33" s="70"/>
      <c r="N33" s="71"/>
      <c r="O33" s="165"/>
      <c r="P33" s="69" t="s">
        <v>19</v>
      </c>
      <c r="Q33" s="70" t="s">
        <v>19</v>
      </c>
      <c r="R33" s="70" t="s">
        <v>19</v>
      </c>
      <c r="S33" s="70" t="s">
        <v>19</v>
      </c>
      <c r="T33" s="71" t="s">
        <v>19</v>
      </c>
      <c r="U33" s="72"/>
      <c r="V33" s="73" t="s">
        <v>19</v>
      </c>
      <c r="W33" s="74" t="s">
        <v>19</v>
      </c>
      <c r="X33" s="72"/>
      <c r="Y33" s="71" t="s">
        <v>19</v>
      </c>
      <c r="Z33" s="72"/>
      <c r="AA33" s="71" t="s">
        <v>19</v>
      </c>
      <c r="AB33" s="72"/>
      <c r="AC33" s="70" t="s">
        <v>19</v>
      </c>
      <c r="AD33" s="70" t="s">
        <v>19</v>
      </c>
      <c r="AE33" s="71" t="s">
        <v>19</v>
      </c>
      <c r="AF33" s="72"/>
      <c r="AG33" s="75" t="s">
        <v>19</v>
      </c>
      <c r="AH33" s="71" t="s">
        <v>19</v>
      </c>
      <c r="AI33" s="76"/>
      <c r="AJ33" s="72"/>
      <c r="AK33" s="70" t="s">
        <v>19</v>
      </c>
      <c r="AL33" s="70" t="s">
        <v>19</v>
      </c>
      <c r="AM33" s="70"/>
      <c r="AN33" s="71" t="s">
        <v>19</v>
      </c>
      <c r="AO33" s="72"/>
      <c r="AP33" s="75" t="s">
        <v>19</v>
      </c>
      <c r="AQ33" s="70" t="s">
        <v>19</v>
      </c>
      <c r="AR33" s="70" t="s">
        <v>19</v>
      </c>
      <c r="AS33" s="71" t="s">
        <v>19</v>
      </c>
      <c r="AT33" s="76"/>
      <c r="AU33" s="72"/>
      <c r="AV33" s="71" t="s">
        <v>19</v>
      </c>
      <c r="AW33" s="76"/>
      <c r="AX33" s="72"/>
      <c r="AY33" s="71" t="s">
        <v>19</v>
      </c>
      <c r="AZ33" s="72"/>
      <c r="BA33" s="80">
        <f t="shared" si="6"/>
        <v>0</v>
      </c>
      <c r="BB33" s="81"/>
      <c r="BC33" s="82">
        <f t="shared" si="7"/>
        <v>23</v>
      </c>
      <c r="BD33" s="81"/>
      <c r="BE33" s="83" t="s">
        <v>19</v>
      </c>
      <c r="BF33" s="80"/>
      <c r="BG33" s="80"/>
      <c r="BH33" s="80"/>
      <c r="BI33" s="80"/>
      <c r="BJ33" s="80"/>
      <c r="BK33" s="81"/>
    </row>
    <row r="34" ht="20" customHeight="1" spans="1:63">
      <c r="A34" s="160">
        <v>4</v>
      </c>
      <c r="B34" s="161"/>
      <c r="C34" s="162" t="s">
        <v>62</v>
      </c>
      <c r="D34" s="87"/>
      <c r="E34" s="87"/>
      <c r="F34" s="88"/>
      <c r="G34" s="163" t="s">
        <v>60</v>
      </c>
      <c r="H34" s="164"/>
      <c r="I34" s="72"/>
      <c r="J34" s="70"/>
      <c r="K34" s="70"/>
      <c r="L34" s="70"/>
      <c r="M34" s="70"/>
      <c r="N34" s="71"/>
      <c r="O34" s="165"/>
      <c r="P34" s="69" t="s">
        <v>19</v>
      </c>
      <c r="Q34" s="70" t="s">
        <v>19</v>
      </c>
      <c r="R34" s="70" t="s">
        <v>19</v>
      </c>
      <c r="S34" s="70" t="s">
        <v>19</v>
      </c>
      <c r="T34" s="71" t="s">
        <v>19</v>
      </c>
      <c r="U34" s="72"/>
      <c r="V34" s="73" t="s">
        <v>19</v>
      </c>
      <c r="W34" s="74" t="s">
        <v>19</v>
      </c>
      <c r="X34" s="72"/>
      <c r="Y34" s="71" t="s">
        <v>19</v>
      </c>
      <c r="Z34" s="72"/>
      <c r="AA34" s="71" t="s">
        <v>19</v>
      </c>
      <c r="AB34" s="72"/>
      <c r="AC34" s="70" t="s">
        <v>19</v>
      </c>
      <c r="AD34" s="70" t="s">
        <v>19</v>
      </c>
      <c r="AE34" s="71" t="s">
        <v>19</v>
      </c>
      <c r="AF34" s="72"/>
      <c r="AG34" s="75" t="s">
        <v>19</v>
      </c>
      <c r="AH34" s="71" t="s">
        <v>19</v>
      </c>
      <c r="AI34" s="76"/>
      <c r="AJ34" s="72"/>
      <c r="AK34" s="70" t="s">
        <v>19</v>
      </c>
      <c r="AL34" s="70" t="s">
        <v>19</v>
      </c>
      <c r="AM34" s="70"/>
      <c r="AN34" s="71" t="s">
        <v>19</v>
      </c>
      <c r="AO34" s="72"/>
      <c r="AP34" s="75" t="s">
        <v>19</v>
      </c>
      <c r="AQ34" s="70" t="s">
        <v>19</v>
      </c>
      <c r="AR34" s="70" t="s">
        <v>19</v>
      </c>
      <c r="AS34" s="71" t="s">
        <v>19</v>
      </c>
      <c r="AT34" s="76"/>
      <c r="AU34" s="72"/>
      <c r="AV34" s="71" t="s">
        <v>19</v>
      </c>
      <c r="AW34" s="76"/>
      <c r="AX34" s="72"/>
      <c r="AY34" s="71" t="s">
        <v>19</v>
      </c>
      <c r="AZ34" s="72"/>
      <c r="BA34" s="80">
        <f t="shared" si="6"/>
        <v>0</v>
      </c>
      <c r="BB34" s="81"/>
      <c r="BC34" s="82">
        <f t="shared" si="7"/>
        <v>23</v>
      </c>
      <c r="BD34" s="81"/>
      <c r="BE34" s="83" t="s">
        <v>19</v>
      </c>
      <c r="BF34" s="80"/>
      <c r="BG34" s="80"/>
      <c r="BH34" s="80"/>
      <c r="BI34" s="80"/>
      <c r="BJ34" s="80"/>
      <c r="BK34" s="81"/>
    </row>
    <row r="35" ht="20" customHeight="1" spans="1:63">
      <c r="A35" s="160">
        <v>5</v>
      </c>
      <c r="B35" s="161"/>
      <c r="C35" s="162" t="s">
        <v>63</v>
      </c>
      <c r="D35" s="87"/>
      <c r="E35" s="87"/>
      <c r="F35" s="88"/>
      <c r="G35" s="163" t="s">
        <v>62</v>
      </c>
      <c r="H35" s="164"/>
      <c r="I35" s="72"/>
      <c r="J35" s="70"/>
      <c r="K35" s="70"/>
      <c r="L35" s="70"/>
      <c r="M35" s="70"/>
      <c r="N35" s="71"/>
      <c r="O35" s="165"/>
      <c r="P35" s="69"/>
      <c r="Q35" s="70"/>
      <c r="R35" s="70"/>
      <c r="S35" s="70"/>
      <c r="T35" s="71"/>
      <c r="U35" s="72"/>
      <c r="V35" s="73"/>
      <c r="W35" s="74"/>
      <c r="X35" s="72"/>
      <c r="Y35" s="71"/>
      <c r="Z35" s="72"/>
      <c r="AA35" s="71"/>
      <c r="AB35" s="72"/>
      <c r="AC35" s="70"/>
      <c r="AD35" s="70"/>
      <c r="AE35" s="71"/>
      <c r="AF35" s="72"/>
      <c r="AG35" s="75"/>
      <c r="AH35" s="71"/>
      <c r="AI35" s="76"/>
      <c r="AJ35" s="72"/>
      <c r="AK35" s="70"/>
      <c r="AL35" s="70"/>
      <c r="AM35" s="70"/>
      <c r="AN35" s="71"/>
      <c r="AO35" s="72"/>
      <c r="AP35" s="75" t="s">
        <v>19</v>
      </c>
      <c r="AQ35" s="70" t="s">
        <v>19</v>
      </c>
      <c r="AR35" s="70" t="s">
        <v>19</v>
      </c>
      <c r="AS35" s="71" t="s">
        <v>19</v>
      </c>
      <c r="AT35" s="76"/>
      <c r="AU35" s="72"/>
      <c r="AV35" s="71" t="s">
        <v>19</v>
      </c>
      <c r="AW35" s="76"/>
      <c r="AX35" s="72"/>
      <c r="AY35" s="71" t="s">
        <v>19</v>
      </c>
      <c r="AZ35" s="72"/>
      <c r="BA35" s="80">
        <f t="shared" si="6"/>
        <v>0</v>
      </c>
      <c r="BB35" s="81"/>
      <c r="BC35" s="82">
        <f t="shared" si="7"/>
        <v>23</v>
      </c>
      <c r="BD35" s="81"/>
      <c r="BE35" s="83" t="s">
        <v>64</v>
      </c>
      <c r="BF35" s="80"/>
      <c r="BG35" s="80"/>
      <c r="BH35" s="80"/>
      <c r="BI35" s="80"/>
      <c r="BJ35" s="80"/>
      <c r="BK35" s="81"/>
    </row>
    <row r="36" ht="20" customHeight="1" spans="1:63">
      <c r="A36" s="160">
        <v>6</v>
      </c>
      <c r="B36" s="161"/>
      <c r="C36" s="162" t="s">
        <v>65</v>
      </c>
      <c r="D36" s="87"/>
      <c r="E36" s="87"/>
      <c r="F36" s="88"/>
      <c r="G36" s="163" t="s">
        <v>63</v>
      </c>
      <c r="H36" s="164"/>
      <c r="I36" s="72"/>
      <c r="J36" s="70"/>
      <c r="K36" s="70"/>
      <c r="L36" s="70"/>
      <c r="M36" s="70"/>
      <c r="N36" s="71"/>
      <c r="O36" s="165"/>
      <c r="P36" s="69"/>
      <c r="Q36" s="70"/>
      <c r="R36" s="70"/>
      <c r="S36" s="70"/>
      <c r="T36" s="71"/>
      <c r="U36" s="72"/>
      <c r="V36" s="73"/>
      <c r="W36" s="74"/>
      <c r="X36" s="72"/>
      <c r="Y36" s="71"/>
      <c r="Z36" s="72"/>
      <c r="AA36" s="71"/>
      <c r="AB36" s="72"/>
      <c r="AC36" s="70"/>
      <c r="AD36" s="70"/>
      <c r="AE36" s="71"/>
      <c r="AF36" s="72"/>
      <c r="AG36" s="75"/>
      <c r="AH36" s="71"/>
      <c r="AI36" s="76"/>
      <c r="AJ36" s="72"/>
      <c r="AK36" s="70"/>
      <c r="AL36" s="70"/>
      <c r="AM36" s="70"/>
      <c r="AN36" s="71"/>
      <c r="AO36" s="72"/>
      <c r="AP36" s="75" t="s">
        <v>19</v>
      </c>
      <c r="AQ36" s="70" t="s">
        <v>19</v>
      </c>
      <c r="AR36" s="70" t="s">
        <v>19</v>
      </c>
      <c r="AS36" s="71" t="s">
        <v>19</v>
      </c>
      <c r="AT36" s="76"/>
      <c r="AU36" s="72"/>
      <c r="AV36" s="71" t="s">
        <v>19</v>
      </c>
      <c r="AW36" s="76"/>
      <c r="AX36" s="72"/>
      <c r="AY36" s="71" t="s">
        <v>19</v>
      </c>
      <c r="AZ36" s="72"/>
      <c r="BA36" s="80">
        <f t="shared" si="6"/>
        <v>0</v>
      </c>
      <c r="BB36" s="81"/>
      <c r="BC36" s="82">
        <f t="shared" si="7"/>
        <v>23</v>
      </c>
      <c r="BD36" s="81"/>
      <c r="BE36" s="83" t="s">
        <v>19</v>
      </c>
      <c r="BF36" s="80"/>
      <c r="BG36" s="80"/>
      <c r="BH36" s="80"/>
      <c r="BI36" s="80"/>
      <c r="BJ36" s="80"/>
      <c r="BK36" s="81"/>
    </row>
    <row r="37" ht="20" customHeight="1" spans="1:63">
      <c r="A37" s="160">
        <v>7</v>
      </c>
      <c r="B37" s="161"/>
      <c r="C37" s="162" t="s">
        <v>66</v>
      </c>
      <c r="D37" s="87"/>
      <c r="E37" s="87"/>
      <c r="F37" s="88"/>
      <c r="G37" s="163" t="s">
        <v>65</v>
      </c>
      <c r="H37" s="164"/>
      <c r="I37" s="72"/>
      <c r="J37" s="70"/>
      <c r="K37" s="70"/>
      <c r="L37" s="70"/>
      <c r="M37" s="70"/>
      <c r="N37" s="71"/>
      <c r="O37" s="165"/>
      <c r="P37" s="69"/>
      <c r="Q37" s="70"/>
      <c r="R37" s="70"/>
      <c r="S37" s="70"/>
      <c r="T37" s="71"/>
      <c r="U37" s="72"/>
      <c r="V37" s="73"/>
      <c r="W37" s="74"/>
      <c r="X37" s="72"/>
      <c r="Y37" s="71"/>
      <c r="Z37" s="72"/>
      <c r="AA37" s="71"/>
      <c r="AB37" s="72"/>
      <c r="AC37" s="70"/>
      <c r="AD37" s="70"/>
      <c r="AE37" s="71"/>
      <c r="AF37" s="72"/>
      <c r="AG37" s="75"/>
      <c r="AH37" s="71"/>
      <c r="AI37" s="76"/>
      <c r="AJ37" s="72"/>
      <c r="AK37" s="70"/>
      <c r="AL37" s="70"/>
      <c r="AM37" s="70"/>
      <c r="AN37" s="71"/>
      <c r="AO37" s="72"/>
      <c r="AP37" s="75" t="s">
        <v>19</v>
      </c>
      <c r="AQ37" s="70" t="s">
        <v>19</v>
      </c>
      <c r="AR37" s="70" t="s">
        <v>19</v>
      </c>
      <c r="AS37" s="71" t="s">
        <v>19</v>
      </c>
      <c r="AT37" s="76"/>
      <c r="AU37" s="72"/>
      <c r="AV37" s="71" t="s">
        <v>19</v>
      </c>
      <c r="AW37" s="76"/>
      <c r="AX37" s="72"/>
      <c r="AY37" s="71" t="s">
        <v>19</v>
      </c>
      <c r="AZ37" s="72"/>
      <c r="BA37" s="80">
        <f t="shared" si="6"/>
        <v>0</v>
      </c>
      <c r="BB37" s="81"/>
      <c r="BC37" s="82">
        <f t="shared" si="7"/>
        <v>23</v>
      </c>
      <c r="BD37" s="81"/>
      <c r="BE37" s="83" t="s">
        <v>19</v>
      </c>
      <c r="BF37" s="80"/>
      <c r="BG37" s="80"/>
      <c r="BH37" s="80"/>
      <c r="BI37" s="80"/>
      <c r="BJ37" s="80"/>
      <c r="BK37" s="81"/>
    </row>
    <row r="38" ht="20" customHeight="1" spans="1:63">
      <c r="A38" s="160">
        <v>8</v>
      </c>
      <c r="B38" s="161"/>
      <c r="C38" s="162" t="s">
        <v>67</v>
      </c>
      <c r="D38" s="87"/>
      <c r="E38" s="87"/>
      <c r="F38" s="88"/>
      <c r="G38" s="163" t="s">
        <v>66</v>
      </c>
      <c r="H38" s="164"/>
      <c r="I38" s="72"/>
      <c r="J38" s="70"/>
      <c r="K38" s="70"/>
      <c r="L38" s="70"/>
      <c r="M38" s="70"/>
      <c r="N38" s="71"/>
      <c r="O38" s="165"/>
      <c r="P38" s="69"/>
      <c r="Q38" s="70"/>
      <c r="R38" s="70"/>
      <c r="S38" s="70"/>
      <c r="T38" s="71"/>
      <c r="U38" s="72"/>
      <c r="V38" s="73"/>
      <c r="W38" s="74"/>
      <c r="X38" s="72"/>
      <c r="Y38" s="71"/>
      <c r="Z38" s="72"/>
      <c r="AA38" s="71"/>
      <c r="AB38" s="72"/>
      <c r="AC38" s="70"/>
      <c r="AD38" s="70"/>
      <c r="AE38" s="71"/>
      <c r="AF38" s="72"/>
      <c r="AG38" s="75"/>
      <c r="AH38" s="71"/>
      <c r="AI38" s="76"/>
      <c r="AJ38" s="72"/>
      <c r="AK38" s="70"/>
      <c r="AL38" s="70"/>
      <c r="AM38" s="70"/>
      <c r="AN38" s="71"/>
      <c r="AO38" s="72"/>
      <c r="AP38" s="75" t="s">
        <v>19</v>
      </c>
      <c r="AQ38" s="70" t="s">
        <v>19</v>
      </c>
      <c r="AR38" s="70" t="s">
        <v>19</v>
      </c>
      <c r="AS38" s="71" t="s">
        <v>19</v>
      </c>
      <c r="AT38" s="76"/>
      <c r="AU38" s="72"/>
      <c r="AV38" s="71" t="s">
        <v>19</v>
      </c>
      <c r="AW38" s="76"/>
      <c r="AX38" s="72"/>
      <c r="AY38" s="71" t="s">
        <v>19</v>
      </c>
      <c r="AZ38" s="72"/>
      <c r="BA38" s="80">
        <f t="shared" si="6"/>
        <v>0</v>
      </c>
      <c r="BB38" s="81"/>
      <c r="BC38" s="82">
        <f t="shared" si="7"/>
        <v>23</v>
      </c>
      <c r="BD38" s="81"/>
      <c r="BE38" s="83" t="s">
        <v>19</v>
      </c>
      <c r="BF38" s="80"/>
      <c r="BG38" s="80"/>
      <c r="BH38" s="80"/>
      <c r="BI38" s="80"/>
      <c r="BJ38" s="80"/>
      <c r="BK38" s="81"/>
    </row>
    <row r="39" ht="20" customHeight="1" spans="1:63">
      <c r="A39" s="160">
        <v>9</v>
      </c>
      <c r="B39" s="161"/>
      <c r="C39" s="162" t="s">
        <v>68</v>
      </c>
      <c r="D39" s="87"/>
      <c r="E39" s="87"/>
      <c r="F39" s="88"/>
      <c r="G39" s="163" t="s">
        <v>67</v>
      </c>
      <c r="H39" s="164"/>
      <c r="I39" s="72"/>
      <c r="J39" s="70"/>
      <c r="K39" s="70"/>
      <c r="L39" s="70"/>
      <c r="M39" s="70"/>
      <c r="N39" s="71"/>
      <c r="O39" s="165"/>
      <c r="P39" s="69"/>
      <c r="Q39" s="70"/>
      <c r="R39" s="70"/>
      <c r="S39" s="70"/>
      <c r="T39" s="71"/>
      <c r="U39" s="72"/>
      <c r="V39" s="73"/>
      <c r="W39" s="74"/>
      <c r="X39" s="72"/>
      <c r="Y39" s="71"/>
      <c r="Z39" s="72"/>
      <c r="AA39" s="71"/>
      <c r="AB39" s="72"/>
      <c r="AC39" s="70"/>
      <c r="AD39" s="70"/>
      <c r="AE39" s="71"/>
      <c r="AF39" s="72"/>
      <c r="AG39" s="75"/>
      <c r="AH39" s="71"/>
      <c r="AI39" s="76"/>
      <c r="AJ39" s="72"/>
      <c r="AK39" s="70"/>
      <c r="AL39" s="70"/>
      <c r="AM39" s="70"/>
      <c r="AN39" s="71"/>
      <c r="AO39" s="72"/>
      <c r="AP39" s="75"/>
      <c r="AQ39" s="70" t="s">
        <v>19</v>
      </c>
      <c r="AR39" s="70" t="s">
        <v>19</v>
      </c>
      <c r="AS39" s="71" t="s">
        <v>19</v>
      </c>
      <c r="AT39" s="76"/>
      <c r="AU39" s="72"/>
      <c r="AV39" s="71" t="s">
        <v>19</v>
      </c>
      <c r="AW39" s="76"/>
      <c r="AX39" s="72"/>
      <c r="AY39" s="71" t="s">
        <v>19</v>
      </c>
      <c r="AZ39" s="72"/>
      <c r="BA39" s="80">
        <f t="shared" ref="BA39:BA54" si="8">SUM(G39:AZ39)</f>
        <v>0</v>
      </c>
      <c r="BB39" s="81"/>
      <c r="BC39" s="82">
        <f t="shared" si="7"/>
        <v>23</v>
      </c>
      <c r="BD39" s="81"/>
      <c r="BE39" s="83"/>
      <c r="BF39" s="80"/>
      <c r="BG39" s="80"/>
      <c r="BH39" s="80"/>
      <c r="BI39" s="80"/>
      <c r="BJ39" s="80"/>
      <c r="BK39" s="81"/>
    </row>
    <row r="40" ht="20" customHeight="1" spans="1:63">
      <c r="A40" s="160">
        <v>10</v>
      </c>
      <c r="B40" s="161"/>
      <c r="C40" s="162" t="s">
        <v>69</v>
      </c>
      <c r="D40" s="87"/>
      <c r="E40" s="87"/>
      <c r="F40" s="88"/>
      <c r="G40" s="163" t="s">
        <v>68</v>
      </c>
      <c r="H40" s="164"/>
      <c r="I40" s="72"/>
      <c r="J40" s="70"/>
      <c r="K40" s="70"/>
      <c r="L40" s="70"/>
      <c r="M40" s="70"/>
      <c r="N40" s="71"/>
      <c r="O40" s="165"/>
      <c r="P40" s="69"/>
      <c r="Q40" s="70"/>
      <c r="R40" s="70"/>
      <c r="S40" s="70"/>
      <c r="T40" s="71"/>
      <c r="U40" s="72"/>
      <c r="V40" s="73"/>
      <c r="W40" s="74"/>
      <c r="X40" s="72"/>
      <c r="Y40" s="71"/>
      <c r="Z40" s="72"/>
      <c r="AA40" s="71"/>
      <c r="AB40" s="72"/>
      <c r="AC40" s="70"/>
      <c r="AD40" s="70"/>
      <c r="AE40" s="71"/>
      <c r="AF40" s="72"/>
      <c r="AG40" s="75"/>
      <c r="AH40" s="71"/>
      <c r="AI40" s="76"/>
      <c r="AJ40" s="72"/>
      <c r="AK40" s="70"/>
      <c r="AL40" s="70"/>
      <c r="AM40" s="70"/>
      <c r="AN40" s="71"/>
      <c r="AO40" s="72"/>
      <c r="AP40" s="75" t="s">
        <v>19</v>
      </c>
      <c r="AQ40" s="70" t="s">
        <v>19</v>
      </c>
      <c r="AR40" s="70" t="s">
        <v>19</v>
      </c>
      <c r="AS40" s="71" t="s">
        <v>19</v>
      </c>
      <c r="AT40" s="76"/>
      <c r="AU40" s="72"/>
      <c r="AV40" s="71" t="s">
        <v>19</v>
      </c>
      <c r="AW40" s="76"/>
      <c r="AX40" s="72"/>
      <c r="AY40" s="71" t="s">
        <v>19</v>
      </c>
      <c r="AZ40" s="72"/>
      <c r="BA40" s="80">
        <f t="shared" si="8"/>
        <v>0</v>
      </c>
      <c r="BB40" s="81"/>
      <c r="BC40" s="82">
        <f t="shared" si="7"/>
        <v>23</v>
      </c>
      <c r="BD40" s="81"/>
      <c r="BE40" s="83" t="s">
        <v>19</v>
      </c>
      <c r="BF40" s="80"/>
      <c r="BG40" s="80"/>
      <c r="BH40" s="80"/>
      <c r="BI40" s="80"/>
      <c r="BJ40" s="80"/>
      <c r="BK40" s="81"/>
    </row>
    <row r="41" ht="20" customHeight="1" spans="1:63">
      <c r="A41" s="160">
        <v>11</v>
      </c>
      <c r="B41" s="161"/>
      <c r="C41" s="162" t="s">
        <v>70</v>
      </c>
      <c r="D41" s="87"/>
      <c r="E41" s="87"/>
      <c r="F41" s="88"/>
      <c r="G41" s="163" t="s">
        <v>69</v>
      </c>
      <c r="H41" s="164"/>
      <c r="I41" s="72"/>
      <c r="J41" s="70"/>
      <c r="K41" s="70"/>
      <c r="L41" s="70"/>
      <c r="M41" s="70"/>
      <c r="N41" s="71"/>
      <c r="O41" s="165"/>
      <c r="P41" s="69"/>
      <c r="Q41" s="70"/>
      <c r="R41" s="70"/>
      <c r="S41" s="70"/>
      <c r="T41" s="71"/>
      <c r="U41" s="72"/>
      <c r="V41" s="73"/>
      <c r="W41" s="74"/>
      <c r="X41" s="72"/>
      <c r="Y41" s="71"/>
      <c r="Z41" s="72"/>
      <c r="AA41" s="71"/>
      <c r="AB41" s="72"/>
      <c r="AC41" s="70"/>
      <c r="AD41" s="70"/>
      <c r="AE41" s="71"/>
      <c r="AF41" s="72"/>
      <c r="AG41" s="75"/>
      <c r="AH41" s="71"/>
      <c r="AI41" s="76"/>
      <c r="AJ41" s="72"/>
      <c r="AK41" s="70"/>
      <c r="AL41" s="70"/>
      <c r="AM41" s="70"/>
      <c r="AN41" s="71"/>
      <c r="AO41" s="72"/>
      <c r="AP41" s="75" t="s">
        <v>19</v>
      </c>
      <c r="AQ41" s="70" t="s">
        <v>19</v>
      </c>
      <c r="AR41" s="70" t="s">
        <v>19</v>
      </c>
      <c r="AS41" s="71" t="s">
        <v>19</v>
      </c>
      <c r="AT41" s="76"/>
      <c r="AU41" s="72"/>
      <c r="AV41" s="71" t="s">
        <v>19</v>
      </c>
      <c r="AW41" s="76"/>
      <c r="AX41" s="72"/>
      <c r="AY41" s="71" t="s">
        <v>19</v>
      </c>
      <c r="AZ41" s="72"/>
      <c r="BA41" s="80">
        <f t="shared" si="8"/>
        <v>0</v>
      </c>
      <c r="BB41" s="81"/>
      <c r="BC41" s="82">
        <f t="shared" si="7"/>
        <v>23</v>
      </c>
      <c r="BD41" s="81"/>
      <c r="BE41" s="83" t="s">
        <v>19</v>
      </c>
      <c r="BF41" s="80"/>
      <c r="BG41" s="80"/>
      <c r="BH41" s="80"/>
      <c r="BI41" s="80"/>
      <c r="BJ41" s="80"/>
      <c r="BK41" s="81"/>
    </row>
    <row r="42" ht="20" customHeight="1" spans="1:63">
      <c r="A42" s="160">
        <v>12</v>
      </c>
      <c r="B42" s="161"/>
      <c r="C42" s="162" t="s">
        <v>71</v>
      </c>
      <c r="D42" s="87"/>
      <c r="E42" s="87"/>
      <c r="F42" s="88"/>
      <c r="G42" s="163" t="s">
        <v>70</v>
      </c>
      <c r="H42" s="164"/>
      <c r="I42" s="72"/>
      <c r="J42" s="70"/>
      <c r="K42" s="70"/>
      <c r="L42" s="70"/>
      <c r="M42" s="70"/>
      <c r="N42" s="71"/>
      <c r="O42" s="165"/>
      <c r="P42" s="69"/>
      <c r="Q42" s="70"/>
      <c r="R42" s="70"/>
      <c r="S42" s="70"/>
      <c r="T42" s="71"/>
      <c r="U42" s="72"/>
      <c r="V42" s="73"/>
      <c r="W42" s="74"/>
      <c r="X42" s="72"/>
      <c r="Y42" s="71"/>
      <c r="Z42" s="72"/>
      <c r="AA42" s="71"/>
      <c r="AB42" s="72"/>
      <c r="AC42" s="70"/>
      <c r="AD42" s="70"/>
      <c r="AE42" s="71"/>
      <c r="AF42" s="72"/>
      <c r="AG42" s="75"/>
      <c r="AH42" s="71"/>
      <c r="AI42" s="76"/>
      <c r="AJ42" s="72"/>
      <c r="AK42" s="70"/>
      <c r="AL42" s="70"/>
      <c r="AM42" s="70"/>
      <c r="AN42" s="71"/>
      <c r="AO42" s="72"/>
      <c r="AP42" s="75" t="s">
        <v>19</v>
      </c>
      <c r="AQ42" s="70" t="s">
        <v>19</v>
      </c>
      <c r="AR42" s="70" t="s">
        <v>19</v>
      </c>
      <c r="AS42" s="71" t="s">
        <v>19</v>
      </c>
      <c r="AT42" s="76"/>
      <c r="AU42" s="72"/>
      <c r="AV42" s="71" t="s">
        <v>19</v>
      </c>
      <c r="AW42" s="76"/>
      <c r="AX42" s="72"/>
      <c r="AY42" s="71" t="s">
        <v>19</v>
      </c>
      <c r="AZ42" s="72"/>
      <c r="BA42" s="80">
        <f t="shared" si="8"/>
        <v>0</v>
      </c>
      <c r="BB42" s="81"/>
      <c r="BC42" s="82">
        <f t="shared" si="7"/>
        <v>23</v>
      </c>
      <c r="BD42" s="81"/>
      <c r="BE42" s="83" t="s">
        <v>19</v>
      </c>
      <c r="BF42" s="80"/>
      <c r="BG42" s="80"/>
      <c r="BH42" s="80"/>
      <c r="BI42" s="80"/>
      <c r="BJ42" s="80"/>
      <c r="BK42" s="81"/>
    </row>
    <row r="43" ht="20" customHeight="1" spans="1:63">
      <c r="A43" s="160">
        <v>13</v>
      </c>
      <c r="B43" s="161"/>
      <c r="C43" s="162" t="s">
        <v>72</v>
      </c>
      <c r="D43" s="87"/>
      <c r="E43" s="87"/>
      <c r="F43" s="88"/>
      <c r="G43" s="163" t="s">
        <v>71</v>
      </c>
      <c r="H43" s="164"/>
      <c r="I43" s="72"/>
      <c r="J43" s="70"/>
      <c r="K43" s="70"/>
      <c r="L43" s="70"/>
      <c r="M43" s="70"/>
      <c r="N43" s="71"/>
      <c r="O43" s="165"/>
      <c r="P43" s="69"/>
      <c r="Q43" s="70"/>
      <c r="R43" s="70"/>
      <c r="S43" s="70"/>
      <c r="T43" s="71"/>
      <c r="U43" s="72"/>
      <c r="V43" s="73"/>
      <c r="W43" s="74"/>
      <c r="X43" s="72"/>
      <c r="Y43" s="71"/>
      <c r="Z43" s="72"/>
      <c r="AA43" s="71"/>
      <c r="AB43" s="72"/>
      <c r="AC43" s="70"/>
      <c r="AD43" s="70"/>
      <c r="AE43" s="71"/>
      <c r="AF43" s="72"/>
      <c r="AG43" s="75"/>
      <c r="AH43" s="71"/>
      <c r="AI43" s="76"/>
      <c r="AJ43" s="72"/>
      <c r="AK43" s="70"/>
      <c r="AL43" s="70"/>
      <c r="AM43" s="70"/>
      <c r="AN43" s="71"/>
      <c r="AO43" s="72"/>
      <c r="AP43" s="75"/>
      <c r="AQ43" s="70"/>
      <c r="AR43" s="70"/>
      <c r="AS43" s="71"/>
      <c r="AT43" s="76"/>
      <c r="AU43" s="72"/>
      <c r="AV43" s="71"/>
      <c r="AW43" s="76"/>
      <c r="AX43" s="72"/>
      <c r="AY43" s="71"/>
      <c r="AZ43" s="72"/>
      <c r="BA43" s="80">
        <f t="shared" si="8"/>
        <v>0</v>
      </c>
      <c r="BB43" s="81"/>
      <c r="BC43" s="82">
        <f t="shared" si="7"/>
        <v>23</v>
      </c>
      <c r="BD43" s="81"/>
      <c r="BE43" s="83"/>
      <c r="BF43" s="80"/>
      <c r="BG43" s="80"/>
      <c r="BH43" s="80"/>
      <c r="BI43" s="80"/>
      <c r="BJ43" s="80"/>
      <c r="BK43" s="81"/>
    </row>
    <row r="44" ht="20" customHeight="1" spans="1:63">
      <c r="A44" s="160">
        <v>14</v>
      </c>
      <c r="B44" s="161"/>
      <c r="C44" s="162" t="s">
        <v>73</v>
      </c>
      <c r="D44" s="87"/>
      <c r="E44" s="87"/>
      <c r="F44" s="88"/>
      <c r="G44" s="163" t="s">
        <v>72</v>
      </c>
      <c r="H44" s="164"/>
      <c r="I44" s="72"/>
      <c r="J44" s="70"/>
      <c r="K44" s="70"/>
      <c r="L44" s="70"/>
      <c r="M44" s="70"/>
      <c r="N44" s="71"/>
      <c r="O44" s="165"/>
      <c r="P44" s="69"/>
      <c r="Q44" s="70"/>
      <c r="R44" s="70"/>
      <c r="S44" s="70"/>
      <c r="T44" s="71"/>
      <c r="U44" s="72"/>
      <c r="V44" s="73"/>
      <c r="W44" s="74"/>
      <c r="X44" s="72"/>
      <c r="Y44" s="71"/>
      <c r="Z44" s="72"/>
      <c r="AA44" s="71"/>
      <c r="AB44" s="72"/>
      <c r="AC44" s="70"/>
      <c r="AD44" s="70"/>
      <c r="AE44" s="71"/>
      <c r="AF44" s="72"/>
      <c r="AG44" s="75"/>
      <c r="AH44" s="71"/>
      <c r="AI44" s="76"/>
      <c r="AJ44" s="72"/>
      <c r="AK44" s="70"/>
      <c r="AL44" s="70"/>
      <c r="AM44" s="70"/>
      <c r="AN44" s="71"/>
      <c r="AO44" s="72"/>
      <c r="AP44" s="75"/>
      <c r="AQ44" s="70"/>
      <c r="AR44" s="70"/>
      <c r="AS44" s="71"/>
      <c r="AT44" s="76"/>
      <c r="AU44" s="72"/>
      <c r="AV44" s="71"/>
      <c r="AW44" s="76"/>
      <c r="AX44" s="72"/>
      <c r="AY44" s="71"/>
      <c r="AZ44" s="72"/>
      <c r="BA44" s="80">
        <f t="shared" si="8"/>
        <v>0</v>
      </c>
      <c r="BB44" s="81"/>
      <c r="BC44" s="82">
        <f t="shared" si="7"/>
        <v>23</v>
      </c>
      <c r="BD44" s="81"/>
      <c r="BE44" s="82" t="s">
        <v>74</v>
      </c>
      <c r="BF44" s="80"/>
      <c r="BG44" s="80"/>
      <c r="BH44" s="80"/>
      <c r="BI44" s="80"/>
      <c r="BJ44" s="80"/>
      <c r="BK44" s="81"/>
    </row>
    <row r="45" ht="20" customHeight="1" spans="1:63">
      <c r="A45" s="160">
        <v>15</v>
      </c>
      <c r="B45" s="161"/>
      <c r="C45" s="162" t="s">
        <v>75</v>
      </c>
      <c r="D45" s="87"/>
      <c r="E45" s="87"/>
      <c r="F45" s="88"/>
      <c r="G45" s="163" t="s">
        <v>73</v>
      </c>
      <c r="H45" s="164"/>
      <c r="I45" s="72"/>
      <c r="J45" s="70"/>
      <c r="K45" s="70"/>
      <c r="L45" s="70"/>
      <c r="M45" s="70"/>
      <c r="N45" s="71"/>
      <c r="O45" s="165"/>
      <c r="P45" s="69"/>
      <c r="Q45" s="70">
        <v>1</v>
      </c>
      <c r="R45" s="70">
        <v>1</v>
      </c>
      <c r="S45" s="70">
        <v>1</v>
      </c>
      <c r="T45" s="71" t="s">
        <v>19</v>
      </c>
      <c r="U45" s="72"/>
      <c r="V45" s="73"/>
      <c r="W45" s="74"/>
      <c r="X45" s="72"/>
      <c r="Y45" s="71"/>
      <c r="Z45" s="72"/>
      <c r="AA45" s="71"/>
      <c r="AB45" s="72"/>
      <c r="AC45" s="70">
        <v>1</v>
      </c>
      <c r="AD45" s="70">
        <v>1</v>
      </c>
      <c r="AE45" s="71"/>
      <c r="AF45" s="72"/>
      <c r="AG45" s="75"/>
      <c r="AH45" s="71"/>
      <c r="AI45" s="76"/>
      <c r="AJ45" s="72"/>
      <c r="AK45" s="70">
        <v>1</v>
      </c>
      <c r="AL45" s="70">
        <v>1</v>
      </c>
      <c r="AM45" s="70"/>
      <c r="AN45" s="71"/>
      <c r="AO45" s="72"/>
      <c r="AP45" s="75"/>
      <c r="AQ45" s="70"/>
      <c r="AR45" s="70"/>
      <c r="AS45" s="71"/>
      <c r="AT45" s="76"/>
      <c r="AU45" s="72"/>
      <c r="AV45" s="71"/>
      <c r="AW45" s="76"/>
      <c r="AX45" s="72"/>
      <c r="AY45" s="71"/>
      <c r="AZ45" s="72"/>
      <c r="BA45" s="80">
        <f t="shared" si="8"/>
        <v>7</v>
      </c>
      <c r="BB45" s="81"/>
      <c r="BC45" s="82">
        <f t="shared" si="7"/>
        <v>16</v>
      </c>
      <c r="BD45" s="81"/>
      <c r="BE45" s="83"/>
      <c r="BF45" s="80"/>
      <c r="BG45" s="80"/>
      <c r="BH45" s="80"/>
      <c r="BI45" s="80"/>
      <c r="BJ45" s="80"/>
      <c r="BK45" s="81"/>
    </row>
    <row r="46" ht="20" customHeight="1" spans="1:63">
      <c r="A46" s="160">
        <v>16</v>
      </c>
      <c r="B46" s="161"/>
      <c r="C46" s="162" t="s">
        <v>76</v>
      </c>
      <c r="D46" s="87"/>
      <c r="E46" s="87"/>
      <c r="F46" s="88"/>
      <c r="G46" s="163" t="s">
        <v>75</v>
      </c>
      <c r="H46" s="164"/>
      <c r="I46" s="72"/>
      <c r="J46" s="70"/>
      <c r="K46" s="70"/>
      <c r="L46" s="70"/>
      <c r="M46" s="70"/>
      <c r="N46" s="71"/>
      <c r="O46" s="165"/>
      <c r="P46" s="69"/>
      <c r="Q46" s="70"/>
      <c r="R46" s="70"/>
      <c r="S46" s="70"/>
      <c r="T46" s="71" t="s">
        <v>19</v>
      </c>
      <c r="U46" s="72"/>
      <c r="V46" s="73"/>
      <c r="W46" s="74"/>
      <c r="X46" s="72"/>
      <c r="Y46" s="71"/>
      <c r="Z46" s="72"/>
      <c r="AA46" s="71"/>
      <c r="AB46" s="72"/>
      <c r="AC46" s="70"/>
      <c r="AD46" s="70"/>
      <c r="AE46" s="71"/>
      <c r="AF46" s="72"/>
      <c r="AG46" s="75"/>
      <c r="AH46" s="71"/>
      <c r="AI46" s="76"/>
      <c r="AJ46" s="72"/>
      <c r="AK46" s="70"/>
      <c r="AL46" s="70"/>
      <c r="AM46" s="70"/>
      <c r="AN46" s="71"/>
      <c r="AO46" s="72"/>
      <c r="AP46" s="75"/>
      <c r="AQ46" s="70"/>
      <c r="AR46" s="70"/>
      <c r="AS46" s="71"/>
      <c r="AT46" s="76"/>
      <c r="AU46" s="72"/>
      <c r="AV46" s="71"/>
      <c r="AW46" s="76"/>
      <c r="AX46" s="72"/>
      <c r="AY46" s="71"/>
      <c r="AZ46" s="72"/>
      <c r="BA46" s="80">
        <f t="shared" si="8"/>
        <v>0</v>
      </c>
      <c r="BB46" s="81"/>
      <c r="BC46" s="82">
        <f t="shared" si="7"/>
        <v>23</v>
      </c>
      <c r="BD46" s="81"/>
      <c r="BE46" s="83"/>
      <c r="BF46" s="80"/>
      <c r="BG46" s="80"/>
      <c r="BH46" s="80"/>
      <c r="BI46" s="80"/>
      <c r="BJ46" s="80"/>
      <c r="BK46" s="81"/>
    </row>
    <row r="47" ht="20" customHeight="1" spans="1:63">
      <c r="A47" s="160">
        <v>17</v>
      </c>
      <c r="B47" s="161"/>
      <c r="C47" s="162" t="s">
        <v>77</v>
      </c>
      <c r="D47" s="87"/>
      <c r="E47" s="87"/>
      <c r="F47" s="88"/>
      <c r="G47" s="163" t="s">
        <v>76</v>
      </c>
      <c r="H47" s="164"/>
      <c r="I47" s="72"/>
      <c r="J47" s="70"/>
      <c r="K47" s="70"/>
      <c r="L47" s="70"/>
      <c r="M47" s="70"/>
      <c r="N47" s="71"/>
      <c r="O47" s="165"/>
      <c r="P47" s="69"/>
      <c r="Q47" s="70"/>
      <c r="R47" s="70"/>
      <c r="S47" s="70"/>
      <c r="T47" s="71" t="s">
        <v>19</v>
      </c>
      <c r="U47" s="72"/>
      <c r="V47" s="73"/>
      <c r="W47" s="74"/>
      <c r="X47" s="72"/>
      <c r="Y47" s="71"/>
      <c r="Z47" s="72"/>
      <c r="AA47" s="71"/>
      <c r="AB47" s="72"/>
      <c r="AC47" s="70"/>
      <c r="AD47" s="70"/>
      <c r="AE47" s="71"/>
      <c r="AF47" s="72"/>
      <c r="AG47" s="75"/>
      <c r="AH47" s="71"/>
      <c r="AI47" s="76"/>
      <c r="AJ47" s="72"/>
      <c r="AK47" s="70"/>
      <c r="AL47" s="70"/>
      <c r="AM47" s="70"/>
      <c r="AN47" s="71"/>
      <c r="AO47" s="72"/>
      <c r="AP47" s="75"/>
      <c r="AQ47" s="70"/>
      <c r="AR47" s="70"/>
      <c r="AS47" s="71"/>
      <c r="AT47" s="76"/>
      <c r="AU47" s="72"/>
      <c r="AV47" s="71"/>
      <c r="AW47" s="76"/>
      <c r="AX47" s="72"/>
      <c r="AY47" s="71"/>
      <c r="AZ47" s="72"/>
      <c r="BA47" s="80">
        <f t="shared" si="8"/>
        <v>0</v>
      </c>
      <c r="BB47" s="81"/>
      <c r="BC47" s="82">
        <f t="shared" si="7"/>
        <v>23</v>
      </c>
      <c r="BD47" s="81"/>
      <c r="BE47" s="83"/>
      <c r="BF47" s="80"/>
      <c r="BG47" s="80"/>
      <c r="BH47" s="80"/>
      <c r="BI47" s="80"/>
      <c r="BJ47" s="80"/>
      <c r="BK47" s="81"/>
    </row>
    <row r="48" ht="20" customHeight="1" spans="1:63">
      <c r="A48" s="160">
        <v>18</v>
      </c>
      <c r="B48" s="161"/>
      <c r="C48" s="162" t="s">
        <v>78</v>
      </c>
      <c r="D48" s="87"/>
      <c r="E48" s="87"/>
      <c r="F48" s="88"/>
      <c r="G48" s="163" t="s">
        <v>77</v>
      </c>
      <c r="H48" s="164"/>
      <c r="I48" s="72"/>
      <c r="J48" s="70"/>
      <c r="K48" s="70"/>
      <c r="L48" s="70"/>
      <c r="M48" s="70"/>
      <c r="N48" s="71"/>
      <c r="O48" s="165"/>
      <c r="P48" s="69" t="s">
        <v>19</v>
      </c>
      <c r="Q48" s="70" t="s">
        <v>19</v>
      </c>
      <c r="R48" s="70" t="s">
        <v>19</v>
      </c>
      <c r="S48" s="70" t="s">
        <v>19</v>
      </c>
      <c r="T48" s="71" t="s">
        <v>19</v>
      </c>
      <c r="U48" s="72"/>
      <c r="V48" s="73" t="s">
        <v>19</v>
      </c>
      <c r="W48" s="74" t="s">
        <v>19</v>
      </c>
      <c r="X48" s="72"/>
      <c r="Y48" s="71" t="s">
        <v>19</v>
      </c>
      <c r="Z48" s="72"/>
      <c r="AA48" s="71" t="s">
        <v>19</v>
      </c>
      <c r="AB48" s="72"/>
      <c r="AC48" s="70" t="s">
        <v>19</v>
      </c>
      <c r="AD48" s="70" t="s">
        <v>19</v>
      </c>
      <c r="AE48" s="71" t="s">
        <v>19</v>
      </c>
      <c r="AF48" s="72"/>
      <c r="AG48" s="75" t="s">
        <v>19</v>
      </c>
      <c r="AH48" s="71" t="s">
        <v>19</v>
      </c>
      <c r="AI48" s="76"/>
      <c r="AJ48" s="72"/>
      <c r="AK48" s="70" t="s">
        <v>19</v>
      </c>
      <c r="AL48" s="70" t="s">
        <v>19</v>
      </c>
      <c r="AM48" s="70" t="s">
        <v>19</v>
      </c>
      <c r="AN48" s="71" t="s">
        <v>19</v>
      </c>
      <c r="AO48" s="72"/>
      <c r="AP48" s="75" t="s">
        <v>19</v>
      </c>
      <c r="AQ48" s="70" t="s">
        <v>19</v>
      </c>
      <c r="AR48" s="70" t="s">
        <v>19</v>
      </c>
      <c r="AS48" s="71" t="s">
        <v>19</v>
      </c>
      <c r="AT48" s="76"/>
      <c r="AU48" s="72"/>
      <c r="AV48" s="71" t="s">
        <v>19</v>
      </c>
      <c r="AW48" s="76"/>
      <c r="AX48" s="72"/>
      <c r="AY48" s="71" t="s">
        <v>19</v>
      </c>
      <c r="AZ48" s="72"/>
      <c r="BA48" s="80">
        <f t="shared" si="8"/>
        <v>0</v>
      </c>
      <c r="BB48" s="81"/>
      <c r="BC48" s="82">
        <f t="shared" si="7"/>
        <v>23</v>
      </c>
      <c r="BD48" s="81"/>
      <c r="BE48" s="83"/>
      <c r="BF48" s="80"/>
      <c r="BG48" s="80"/>
      <c r="BH48" s="80"/>
      <c r="BI48" s="80"/>
      <c r="BJ48" s="80"/>
      <c r="BK48" s="81"/>
    </row>
    <row r="49" ht="20" customHeight="1" spans="1:63">
      <c r="A49" s="160">
        <v>19</v>
      </c>
      <c r="B49" s="161"/>
      <c r="C49" s="162" t="s">
        <v>79</v>
      </c>
      <c r="D49" s="87"/>
      <c r="E49" s="87"/>
      <c r="F49" s="88"/>
      <c r="G49" s="163" t="s">
        <v>78</v>
      </c>
      <c r="H49" s="164"/>
      <c r="I49" s="72"/>
      <c r="J49" s="70"/>
      <c r="K49" s="70"/>
      <c r="L49" s="70"/>
      <c r="M49" s="70"/>
      <c r="N49" s="71"/>
      <c r="O49" s="165"/>
      <c r="P49" s="69" t="s">
        <v>19</v>
      </c>
      <c r="Q49" s="70" t="s">
        <v>19</v>
      </c>
      <c r="R49" s="70" t="s">
        <v>19</v>
      </c>
      <c r="S49" s="70" t="s">
        <v>19</v>
      </c>
      <c r="T49" s="71" t="s">
        <v>19</v>
      </c>
      <c r="U49" s="72"/>
      <c r="V49" s="73" t="s">
        <v>19</v>
      </c>
      <c r="W49" s="74" t="s">
        <v>19</v>
      </c>
      <c r="X49" s="72"/>
      <c r="Y49" s="71" t="s">
        <v>19</v>
      </c>
      <c r="Z49" s="72"/>
      <c r="AA49" s="71">
        <v>1</v>
      </c>
      <c r="AB49" s="72"/>
      <c r="AC49" s="70">
        <v>1</v>
      </c>
      <c r="AD49" s="70">
        <v>1</v>
      </c>
      <c r="AE49" s="71" t="s">
        <v>19</v>
      </c>
      <c r="AF49" s="72"/>
      <c r="AG49" s="75" t="s">
        <v>19</v>
      </c>
      <c r="AH49" s="71" t="s">
        <v>19</v>
      </c>
      <c r="AI49" s="76"/>
      <c r="AJ49" s="72"/>
      <c r="AK49" s="70" t="s">
        <v>19</v>
      </c>
      <c r="AL49" s="70" t="s">
        <v>19</v>
      </c>
      <c r="AM49" s="70" t="s">
        <v>19</v>
      </c>
      <c r="AN49" s="71" t="s">
        <v>19</v>
      </c>
      <c r="AO49" s="72"/>
      <c r="AP49" s="75" t="s">
        <v>19</v>
      </c>
      <c r="AQ49" s="70" t="s">
        <v>19</v>
      </c>
      <c r="AR49" s="70" t="s">
        <v>19</v>
      </c>
      <c r="AS49" s="71" t="s">
        <v>19</v>
      </c>
      <c r="AT49" s="76"/>
      <c r="AU49" s="72"/>
      <c r="AV49" s="71" t="s">
        <v>19</v>
      </c>
      <c r="AW49" s="76"/>
      <c r="AX49" s="72"/>
      <c r="AY49" s="71" t="s">
        <v>19</v>
      </c>
      <c r="AZ49" s="72"/>
      <c r="BA49" s="80">
        <f t="shared" si="8"/>
        <v>3</v>
      </c>
      <c r="BB49" s="81"/>
      <c r="BC49" s="82">
        <f t="shared" si="7"/>
        <v>20</v>
      </c>
      <c r="BD49" s="81"/>
      <c r="BE49" s="83"/>
      <c r="BF49" s="80"/>
      <c r="BG49" s="80"/>
      <c r="BH49" s="80"/>
      <c r="BI49" s="80"/>
      <c r="BJ49" s="80"/>
      <c r="BK49" s="81"/>
    </row>
    <row r="50" ht="20" customHeight="1" spans="1:63">
      <c r="A50" s="160">
        <v>20</v>
      </c>
      <c r="B50" s="161"/>
      <c r="C50" s="162" t="s">
        <v>80</v>
      </c>
      <c r="D50" s="87"/>
      <c r="E50" s="87"/>
      <c r="F50" s="88"/>
      <c r="G50" s="163" t="s">
        <v>79</v>
      </c>
      <c r="H50" s="164"/>
      <c r="I50" s="72"/>
      <c r="J50" s="70"/>
      <c r="K50" s="70"/>
      <c r="L50" s="70"/>
      <c r="M50" s="70"/>
      <c r="N50" s="71"/>
      <c r="O50" s="165"/>
      <c r="P50" s="69"/>
      <c r="Q50" s="70"/>
      <c r="R50" s="70"/>
      <c r="S50" s="70"/>
      <c r="T50" s="71" t="s">
        <v>19</v>
      </c>
      <c r="U50" s="72"/>
      <c r="V50" s="73"/>
      <c r="W50" s="74"/>
      <c r="X50" s="72"/>
      <c r="Y50" s="71"/>
      <c r="Z50" s="72"/>
      <c r="AA50" s="71"/>
      <c r="AB50" s="72"/>
      <c r="AC50" s="70"/>
      <c r="AD50" s="70"/>
      <c r="AE50" s="71"/>
      <c r="AF50" s="72"/>
      <c r="AG50" s="75"/>
      <c r="AH50" s="71"/>
      <c r="AI50" s="76"/>
      <c r="AJ50" s="72"/>
      <c r="AK50" s="70"/>
      <c r="AL50" s="70"/>
      <c r="AM50" s="70"/>
      <c r="AN50" s="71"/>
      <c r="AO50" s="72"/>
      <c r="AP50" s="75"/>
      <c r="AQ50" s="70"/>
      <c r="AR50" s="70"/>
      <c r="AS50" s="71"/>
      <c r="AT50" s="76"/>
      <c r="AU50" s="72"/>
      <c r="AV50" s="71"/>
      <c r="AW50" s="76"/>
      <c r="AX50" s="72"/>
      <c r="AY50" s="71"/>
      <c r="AZ50" s="72"/>
      <c r="BA50" s="80">
        <f t="shared" si="8"/>
        <v>0</v>
      </c>
      <c r="BB50" s="81"/>
      <c r="BC50" s="82">
        <f t="shared" si="7"/>
        <v>23</v>
      </c>
      <c r="BD50" s="81"/>
      <c r="BE50" s="83"/>
      <c r="BF50" s="80"/>
      <c r="BG50" s="80"/>
      <c r="BH50" s="80"/>
      <c r="BI50" s="80"/>
      <c r="BJ50" s="80"/>
      <c r="BK50" s="81"/>
    </row>
    <row r="51" ht="20" customHeight="1" spans="1:63">
      <c r="A51" s="160">
        <v>21</v>
      </c>
      <c r="B51" s="161"/>
      <c r="C51" s="162" t="s">
        <v>81</v>
      </c>
      <c r="D51" s="87"/>
      <c r="E51" s="87"/>
      <c r="F51" s="88"/>
      <c r="G51" s="163" t="s">
        <v>80</v>
      </c>
      <c r="H51" s="164"/>
      <c r="I51" s="72"/>
      <c r="J51" s="70"/>
      <c r="K51" s="70"/>
      <c r="L51" s="70"/>
      <c r="M51" s="70"/>
      <c r="N51" s="71"/>
      <c r="O51" s="165"/>
      <c r="P51" s="69"/>
      <c r="Q51" s="70"/>
      <c r="R51" s="70"/>
      <c r="S51" s="70"/>
      <c r="T51" s="71" t="s">
        <v>19</v>
      </c>
      <c r="U51" s="72"/>
      <c r="V51" s="73"/>
      <c r="W51" s="74"/>
      <c r="X51" s="72"/>
      <c r="Y51" s="71"/>
      <c r="Z51" s="72"/>
      <c r="AA51" s="71"/>
      <c r="AB51" s="72"/>
      <c r="AC51" s="70"/>
      <c r="AD51" s="70"/>
      <c r="AE51" s="71"/>
      <c r="AF51" s="72"/>
      <c r="AG51" s="75"/>
      <c r="AH51" s="71"/>
      <c r="AI51" s="76"/>
      <c r="AJ51" s="72"/>
      <c r="AK51" s="70"/>
      <c r="AL51" s="70"/>
      <c r="AM51" s="70"/>
      <c r="AN51" s="71"/>
      <c r="AO51" s="72"/>
      <c r="AP51" s="75"/>
      <c r="AQ51" s="70"/>
      <c r="AR51" s="70"/>
      <c r="AS51" s="71"/>
      <c r="AT51" s="76"/>
      <c r="AU51" s="72"/>
      <c r="AV51" s="71"/>
      <c r="AW51" s="76"/>
      <c r="AX51" s="72"/>
      <c r="AY51" s="71"/>
      <c r="AZ51" s="72"/>
      <c r="BA51" s="80">
        <f t="shared" si="8"/>
        <v>0</v>
      </c>
      <c r="BB51" s="81"/>
      <c r="BC51" s="82">
        <f t="shared" si="7"/>
        <v>23</v>
      </c>
      <c r="BD51" s="81"/>
      <c r="BE51" s="83"/>
      <c r="BF51" s="80"/>
      <c r="BG51" s="80"/>
      <c r="BH51" s="80"/>
      <c r="BI51" s="80"/>
      <c r="BJ51" s="80"/>
      <c r="BK51" s="81"/>
    </row>
    <row r="52" ht="20" customHeight="1" spans="1:63">
      <c r="A52" s="160">
        <v>22</v>
      </c>
      <c r="B52" s="161"/>
      <c r="C52" s="162" t="s">
        <v>82</v>
      </c>
      <c r="D52" s="87"/>
      <c r="E52" s="87"/>
      <c r="F52" s="88"/>
      <c r="G52" s="163" t="s">
        <v>81</v>
      </c>
      <c r="H52" s="164"/>
      <c r="I52" s="72"/>
      <c r="J52" s="70"/>
      <c r="K52" s="70"/>
      <c r="L52" s="70"/>
      <c r="M52" s="70"/>
      <c r="N52" s="71"/>
      <c r="O52" s="165"/>
      <c r="P52" s="69"/>
      <c r="Q52" s="70"/>
      <c r="R52" s="70"/>
      <c r="S52" s="70"/>
      <c r="T52" s="71" t="s">
        <v>19</v>
      </c>
      <c r="U52" s="72"/>
      <c r="V52" s="73"/>
      <c r="W52" s="74"/>
      <c r="X52" s="72"/>
      <c r="Y52" s="71"/>
      <c r="Z52" s="72"/>
      <c r="AA52" s="71"/>
      <c r="AB52" s="72"/>
      <c r="AC52" s="70"/>
      <c r="AD52" s="70"/>
      <c r="AE52" s="71"/>
      <c r="AF52" s="72"/>
      <c r="AG52" s="75"/>
      <c r="AH52" s="71"/>
      <c r="AI52" s="76"/>
      <c r="AJ52" s="72"/>
      <c r="AK52" s="70"/>
      <c r="AL52" s="70"/>
      <c r="AM52" s="70"/>
      <c r="AN52" s="71"/>
      <c r="AO52" s="72"/>
      <c r="AP52" s="75"/>
      <c r="AQ52" s="70"/>
      <c r="AR52" s="70"/>
      <c r="AS52" s="71"/>
      <c r="AT52" s="76"/>
      <c r="AU52" s="72"/>
      <c r="AV52" s="71"/>
      <c r="AW52" s="76"/>
      <c r="AX52" s="72"/>
      <c r="AY52" s="71"/>
      <c r="AZ52" s="72"/>
      <c r="BA52" s="80">
        <f t="shared" si="8"/>
        <v>0</v>
      </c>
      <c r="BB52" s="81"/>
      <c r="BC52" s="82">
        <f t="shared" si="7"/>
        <v>23</v>
      </c>
      <c r="BD52" s="81"/>
      <c r="BE52" s="83"/>
      <c r="BF52" s="80"/>
      <c r="BG52" s="80"/>
      <c r="BH52" s="80"/>
      <c r="BI52" s="80"/>
      <c r="BJ52" s="80"/>
      <c r="BK52" s="81"/>
    </row>
    <row r="53" ht="20" customHeight="1" spans="1:63">
      <c r="A53" s="160">
        <v>23</v>
      </c>
      <c r="B53" s="161"/>
      <c r="C53" s="162" t="s">
        <v>83</v>
      </c>
      <c r="D53" s="87"/>
      <c r="E53" s="87"/>
      <c r="F53" s="88"/>
      <c r="G53" s="163" t="s">
        <v>82</v>
      </c>
      <c r="H53" s="164"/>
      <c r="I53" s="72"/>
      <c r="J53" s="70"/>
      <c r="K53" s="70"/>
      <c r="L53" s="70"/>
      <c r="M53" s="70"/>
      <c r="N53" s="71"/>
      <c r="O53" s="165"/>
      <c r="P53" s="69" t="s">
        <v>19</v>
      </c>
      <c r="Q53" s="70" t="s">
        <v>19</v>
      </c>
      <c r="R53" s="70" t="s">
        <v>19</v>
      </c>
      <c r="S53" s="70" t="s">
        <v>19</v>
      </c>
      <c r="T53" s="71" t="s">
        <v>19</v>
      </c>
      <c r="U53" s="72"/>
      <c r="V53" s="73" t="s">
        <v>19</v>
      </c>
      <c r="W53" s="74" t="s">
        <v>19</v>
      </c>
      <c r="X53" s="72"/>
      <c r="Y53" s="71" t="s">
        <v>19</v>
      </c>
      <c r="Z53" s="72"/>
      <c r="AA53" s="71" t="s">
        <v>19</v>
      </c>
      <c r="AB53" s="72"/>
      <c r="AC53" s="70" t="s">
        <v>19</v>
      </c>
      <c r="AD53" s="70" t="s">
        <v>19</v>
      </c>
      <c r="AE53" s="71" t="s">
        <v>19</v>
      </c>
      <c r="AF53" s="72"/>
      <c r="AG53" s="75" t="s">
        <v>19</v>
      </c>
      <c r="AH53" s="71" t="s">
        <v>19</v>
      </c>
      <c r="AI53" s="76"/>
      <c r="AJ53" s="72"/>
      <c r="AK53" s="70" t="s">
        <v>19</v>
      </c>
      <c r="AL53" s="70" t="s">
        <v>19</v>
      </c>
      <c r="AM53" s="70" t="s">
        <v>19</v>
      </c>
      <c r="AN53" s="71" t="s">
        <v>19</v>
      </c>
      <c r="AO53" s="72"/>
      <c r="AP53" s="75" t="s">
        <v>19</v>
      </c>
      <c r="AQ53" s="70" t="s">
        <v>19</v>
      </c>
      <c r="AR53" s="70" t="s">
        <v>19</v>
      </c>
      <c r="AS53" s="71" t="s">
        <v>19</v>
      </c>
      <c r="AT53" s="76"/>
      <c r="AU53" s="72"/>
      <c r="AV53" s="71" t="s">
        <v>19</v>
      </c>
      <c r="AW53" s="76"/>
      <c r="AX53" s="72"/>
      <c r="AY53" s="71" t="s">
        <v>19</v>
      </c>
      <c r="AZ53" s="72"/>
      <c r="BA53" s="80">
        <f t="shared" si="8"/>
        <v>0</v>
      </c>
      <c r="BB53" s="81"/>
      <c r="BC53" s="82">
        <f t="shared" si="7"/>
        <v>23</v>
      </c>
      <c r="BD53" s="81"/>
      <c r="BE53" s="83" t="s">
        <v>19</v>
      </c>
      <c r="BF53" s="80"/>
      <c r="BG53" s="80"/>
      <c r="BH53" s="80"/>
      <c r="BI53" s="80"/>
      <c r="BJ53" s="80"/>
      <c r="BK53" s="81"/>
    </row>
    <row r="54" ht="20" customHeight="1" spans="1:63">
      <c r="A54" s="160">
        <v>24</v>
      </c>
      <c r="B54" s="161"/>
      <c r="C54" s="166" t="s">
        <v>84</v>
      </c>
      <c r="D54" s="167"/>
      <c r="E54" s="167"/>
      <c r="F54" s="168"/>
      <c r="G54" s="163" t="s">
        <v>83</v>
      </c>
      <c r="H54" s="164"/>
      <c r="I54" s="72"/>
      <c r="J54" s="70"/>
      <c r="K54" s="70"/>
      <c r="L54" s="70"/>
      <c r="M54" s="70"/>
      <c r="N54" s="71"/>
      <c r="O54" s="165"/>
      <c r="P54" s="69" t="s">
        <v>19</v>
      </c>
      <c r="Q54" s="70"/>
      <c r="R54" s="70"/>
      <c r="S54" s="70"/>
      <c r="T54" s="71"/>
      <c r="U54" s="72"/>
      <c r="V54" s="73"/>
      <c r="W54" s="74"/>
      <c r="X54" s="72"/>
      <c r="Y54" s="71"/>
      <c r="Z54" s="72"/>
      <c r="AA54" s="71"/>
      <c r="AB54" s="72"/>
      <c r="AC54" s="70"/>
      <c r="AD54" s="70"/>
      <c r="AE54" s="71"/>
      <c r="AF54" s="72"/>
      <c r="AG54" s="75"/>
      <c r="AH54" s="71"/>
      <c r="AI54" s="76"/>
      <c r="AJ54" s="72"/>
      <c r="AK54" s="70"/>
      <c r="AL54" s="70"/>
      <c r="AM54" s="70"/>
      <c r="AN54" s="71"/>
      <c r="AO54" s="72"/>
      <c r="AP54" s="75" t="s">
        <v>19</v>
      </c>
      <c r="AQ54" s="70" t="s">
        <v>19</v>
      </c>
      <c r="AR54" s="70" t="s">
        <v>19</v>
      </c>
      <c r="AS54" s="71" t="s">
        <v>19</v>
      </c>
      <c r="AT54" s="76"/>
      <c r="AU54" s="72"/>
      <c r="AV54" s="71" t="s">
        <v>19</v>
      </c>
      <c r="AW54" s="76"/>
      <c r="AX54" s="72"/>
      <c r="AY54" s="71" t="s">
        <v>19</v>
      </c>
      <c r="AZ54" s="72"/>
      <c r="BA54" s="80">
        <f t="shared" si="8"/>
        <v>0</v>
      </c>
      <c r="BB54" s="81"/>
      <c r="BC54" s="82">
        <f t="shared" si="7"/>
        <v>23</v>
      </c>
      <c r="BD54" s="81"/>
      <c r="BE54" s="83" t="s">
        <v>85</v>
      </c>
      <c r="BF54" s="80"/>
      <c r="BG54" s="80"/>
      <c r="BH54" s="80"/>
      <c r="BI54" s="80"/>
      <c r="BJ54" s="80"/>
      <c r="BK54" s="81"/>
    </row>
    <row r="55" ht="20" customHeight="1" spans="1:63">
      <c r="A55" s="160">
        <v>25</v>
      </c>
      <c r="B55" s="161"/>
      <c r="C55" s="169" t="s">
        <v>86</v>
      </c>
      <c r="D55" s="170"/>
      <c r="E55" s="170"/>
      <c r="F55" s="171"/>
      <c r="G55" s="163"/>
      <c r="H55" s="164"/>
      <c r="I55" s="72"/>
      <c r="J55" s="70"/>
      <c r="K55" s="70"/>
      <c r="L55" s="70"/>
      <c r="M55" s="70"/>
      <c r="N55" s="71"/>
      <c r="O55" s="165"/>
      <c r="P55" s="69"/>
      <c r="Q55" s="70"/>
      <c r="R55" s="70"/>
      <c r="S55" s="70"/>
      <c r="T55" s="71"/>
      <c r="U55" s="72"/>
      <c r="V55" s="73"/>
      <c r="W55" s="74"/>
      <c r="X55" s="72"/>
      <c r="Y55" s="71"/>
      <c r="Z55" s="72"/>
      <c r="AA55" s="71"/>
      <c r="AB55" s="72"/>
      <c r="AC55" s="70"/>
      <c r="AD55" s="70"/>
      <c r="AE55" s="71"/>
      <c r="AF55" s="72"/>
      <c r="AG55" s="75"/>
      <c r="AH55" s="71"/>
      <c r="AI55" s="76"/>
      <c r="AJ55" s="72"/>
      <c r="AK55" s="70"/>
      <c r="AL55" s="70"/>
      <c r="AM55" s="70"/>
      <c r="AN55" s="71"/>
      <c r="AO55" s="72"/>
      <c r="AP55" s="75"/>
      <c r="AQ55" s="70"/>
      <c r="AR55" s="70"/>
      <c r="AS55" s="71"/>
      <c r="AT55" s="76"/>
      <c r="AU55" s="72"/>
      <c r="AV55" s="71"/>
      <c r="AW55" s="76"/>
      <c r="AX55" s="72"/>
      <c r="AY55" s="71"/>
      <c r="AZ55" s="72"/>
      <c r="BA55" s="82"/>
      <c r="BB55" s="81"/>
      <c r="BC55" s="82"/>
      <c r="BD55" s="81"/>
      <c r="BE55" s="83" t="s">
        <v>56</v>
      </c>
      <c r="BF55" s="80"/>
      <c r="BG55" s="80"/>
      <c r="BH55" s="80"/>
      <c r="BI55" s="80"/>
      <c r="BJ55" s="80"/>
      <c r="BK55" s="81"/>
    </row>
    <row r="56" ht="20" customHeight="1" spans="1:63">
      <c r="A56" s="160">
        <v>26</v>
      </c>
      <c r="B56" s="161"/>
      <c r="C56" s="169" t="s">
        <v>87</v>
      </c>
      <c r="D56" s="170"/>
      <c r="E56" s="170"/>
      <c r="F56" s="171"/>
      <c r="G56" s="163" t="s">
        <v>84</v>
      </c>
      <c r="H56" s="164"/>
      <c r="I56" s="72"/>
      <c r="J56" s="70"/>
      <c r="K56" s="70" t="s">
        <v>19</v>
      </c>
      <c r="L56" s="70"/>
      <c r="M56" s="70"/>
      <c r="N56" s="71" t="s">
        <v>19</v>
      </c>
      <c r="O56" s="165"/>
      <c r="P56" s="69" t="s">
        <v>19</v>
      </c>
      <c r="Q56" s="70" t="s">
        <v>19</v>
      </c>
      <c r="R56" s="70"/>
      <c r="S56" s="70"/>
      <c r="T56" s="71"/>
      <c r="U56" s="72"/>
      <c r="V56" s="73" t="s">
        <v>19</v>
      </c>
      <c r="W56" s="74"/>
      <c r="X56" s="72"/>
      <c r="Y56" s="71"/>
      <c r="Z56" s="72"/>
      <c r="AA56" s="71"/>
      <c r="AB56" s="72"/>
      <c r="AC56" s="70"/>
      <c r="AD56" s="70"/>
      <c r="AE56" s="71" t="s">
        <v>19</v>
      </c>
      <c r="AF56" s="72"/>
      <c r="AG56" s="75" t="s">
        <v>19</v>
      </c>
      <c r="AH56" s="71" t="s">
        <v>19</v>
      </c>
      <c r="AI56" s="76"/>
      <c r="AJ56" s="72"/>
      <c r="AK56" s="70" t="s">
        <v>19</v>
      </c>
      <c r="AL56" s="172"/>
      <c r="AM56" s="70" t="s">
        <v>19</v>
      </c>
      <c r="AN56" s="71" t="s">
        <v>19</v>
      </c>
      <c r="AO56" s="72"/>
      <c r="AP56" s="75" t="s">
        <v>19</v>
      </c>
      <c r="AQ56" s="70" t="s">
        <v>19</v>
      </c>
      <c r="AR56" s="70" t="s">
        <v>19</v>
      </c>
      <c r="AS56" s="71" t="s">
        <v>19</v>
      </c>
      <c r="AT56" s="76"/>
      <c r="AU56" s="72"/>
      <c r="AV56" s="71" t="s">
        <v>19</v>
      </c>
      <c r="AW56" s="76"/>
      <c r="AX56" s="72"/>
      <c r="AY56" s="71" t="s">
        <v>19</v>
      </c>
      <c r="AZ56" s="72"/>
      <c r="BA56" s="82" t="s">
        <v>19</v>
      </c>
      <c r="BB56" s="81"/>
      <c r="BC56" s="82" t="s">
        <v>19</v>
      </c>
      <c r="BD56" s="81"/>
      <c r="BE56" s="83" t="s">
        <v>56</v>
      </c>
      <c r="BF56" s="80"/>
      <c r="BG56" s="80"/>
      <c r="BH56" s="80"/>
      <c r="BI56" s="80"/>
      <c r="BJ56" s="80"/>
      <c r="BK56" s="81"/>
    </row>
    <row r="57" ht="20" customHeight="1" spans="1:63">
      <c r="A57" s="160">
        <v>26</v>
      </c>
      <c r="B57" s="161"/>
      <c r="C57" s="173" t="s">
        <v>88</v>
      </c>
      <c r="D57" s="174"/>
      <c r="E57" s="174"/>
      <c r="F57" s="174"/>
      <c r="G57" s="174"/>
      <c r="H57" s="175"/>
      <c r="I57" s="176"/>
      <c r="J57" s="177">
        <f>SUM(J31:J56)-25</f>
        <v>-24</v>
      </c>
      <c r="K57" s="177">
        <f>SUM(K31:K56)-25</f>
        <v>-24</v>
      </c>
      <c r="L57" s="177">
        <f>SUM(L31:L56)-25</f>
        <v>-25</v>
      </c>
      <c r="M57" s="177">
        <f>SUM(M31:M56)-25</f>
        <v>-25</v>
      </c>
      <c r="N57" s="178"/>
      <c r="O57" s="179"/>
      <c r="P57" s="177">
        <f>SUM(P31:P56)-25</f>
        <v>-25</v>
      </c>
      <c r="Q57" s="113">
        <f>SUM(Q31:Q56)-25</f>
        <v>-24</v>
      </c>
      <c r="R57" s="113">
        <f>SUM(R31:R56)-25</f>
        <v>-24</v>
      </c>
      <c r="S57" s="113">
        <f>SUM(S31:S56)-25</f>
        <v>-23</v>
      </c>
      <c r="T57" s="180">
        <f>SUM(T31:T56)-25</f>
        <v>-24</v>
      </c>
      <c r="U57" s="181"/>
      <c r="V57" s="116"/>
      <c r="W57" s="182">
        <f>SUM(W31:W56)-25</f>
        <v>-25</v>
      </c>
      <c r="X57" s="181"/>
      <c r="Y57" s="180">
        <f>SUM(Y31:Y56)-25</f>
        <v>-25</v>
      </c>
      <c r="Z57" s="181"/>
      <c r="AA57" s="180">
        <f>SUM(AA31:AA56)-25</f>
        <v>-24</v>
      </c>
      <c r="AB57" s="181"/>
      <c r="AC57" s="113">
        <f>SUM(AC31:AC56)-25</f>
        <v>-22</v>
      </c>
      <c r="AD57" s="113">
        <f>SUM(AD31:AD56)-25</f>
        <v>-22</v>
      </c>
      <c r="AE57" s="114"/>
      <c r="AF57" s="183"/>
      <c r="AG57" s="113">
        <f>SUM(AG31:AG56)-25</f>
        <v>-25</v>
      </c>
      <c r="AH57" s="180">
        <f t="shared" ref="AH57:AM57" si="9">SUM(AH31:AH56)-25</f>
        <v>-25</v>
      </c>
      <c r="AI57" s="184"/>
      <c r="AJ57" s="181"/>
      <c r="AK57" s="113">
        <f t="shared" si="9"/>
        <v>-23</v>
      </c>
      <c r="AL57" s="113">
        <f t="shared" si="9"/>
        <v>-23</v>
      </c>
      <c r="AM57" s="113">
        <f t="shared" si="9"/>
        <v>-25</v>
      </c>
      <c r="AN57" s="114"/>
      <c r="AO57" s="183"/>
      <c r="AP57" s="113">
        <f>SUM(AP31:AP56)-25</f>
        <v>-25</v>
      </c>
      <c r="AQ57" s="113">
        <f>SUM(AQ31:AQ56)-25</f>
        <v>-25</v>
      </c>
      <c r="AR57" s="113">
        <f>SUM(AR31:AR56)-25</f>
        <v>-25</v>
      </c>
      <c r="AS57" s="114"/>
      <c r="AT57" s="119"/>
      <c r="AU57" s="115"/>
      <c r="AV57" s="114"/>
      <c r="AW57" s="119"/>
      <c r="AX57" s="115"/>
      <c r="AY57" s="114" t="s">
        <v>19</v>
      </c>
      <c r="AZ57" s="183"/>
      <c r="BA57" s="143">
        <f>SUM(H57:AV57)</f>
        <v>-532</v>
      </c>
      <c r="BB57" s="142"/>
      <c r="BC57" s="143">
        <f>SUM(BC31:BD54)</f>
        <v>534</v>
      </c>
      <c r="BD57" s="142"/>
      <c r="BE57" s="143" t="s">
        <v>19</v>
      </c>
      <c r="BF57" s="141"/>
      <c r="BG57" s="141"/>
      <c r="BH57" s="141"/>
      <c r="BI57" s="141"/>
      <c r="BJ57" s="141"/>
      <c r="BK57" s="142"/>
    </row>
    <row r="58" ht="20" customHeight="1" spans="1:63">
      <c r="A58" s="185">
        <v>44</v>
      </c>
      <c r="B58" s="186"/>
      <c r="C58" s="187" t="s">
        <v>89</v>
      </c>
      <c r="D58" s="188"/>
      <c r="E58" s="188"/>
      <c r="F58" s="188"/>
      <c r="G58" s="188"/>
      <c r="H58" s="189">
        <f>SUM(H30,H57)</f>
        <v>0</v>
      </c>
      <c r="I58" s="190"/>
      <c r="J58" s="191">
        <f>SUM(J30,J57)</f>
        <v>-40</v>
      </c>
      <c r="K58" s="191">
        <f>SUM(K30,K57)</f>
        <v>-40</v>
      </c>
      <c r="L58" s="191">
        <f>SUM(L30,L57)</f>
        <v>-42</v>
      </c>
      <c r="M58" s="191">
        <f>SUM(L30,L57)</f>
        <v>-42</v>
      </c>
      <c r="N58" s="192"/>
      <c r="O58" s="193"/>
      <c r="P58" s="189">
        <f>SUM(P30,P57)</f>
        <v>-43</v>
      </c>
      <c r="Q58" s="192">
        <f>SUM(Q30,Q57)</f>
        <v>-38</v>
      </c>
      <c r="R58" s="192">
        <f>SUM(R30,R57)</f>
        <v>-37</v>
      </c>
      <c r="S58" s="192">
        <f>SUM(S30,S57)</f>
        <v>-37</v>
      </c>
      <c r="T58" s="192">
        <f>SUM(T57,T30)</f>
        <v>-40</v>
      </c>
      <c r="U58" s="190"/>
      <c r="V58" s="194"/>
      <c r="W58" s="189">
        <f>SUM(W57,W30)</f>
        <v>-43</v>
      </c>
      <c r="X58" s="190"/>
      <c r="Y58" s="192">
        <f>SUM(Y57,Y30)</f>
        <v>-39</v>
      </c>
      <c r="Z58" s="190"/>
      <c r="AA58" s="192">
        <f>SUM(AA57,AA30)</f>
        <v>-38</v>
      </c>
      <c r="AB58" s="190"/>
      <c r="AC58" s="192">
        <f>SUM(AC57,AC30)</f>
        <v>-36</v>
      </c>
      <c r="AD58" s="190">
        <f>SUM(AD30,AD57)</f>
        <v>-37</v>
      </c>
      <c r="AE58" s="192"/>
      <c r="AF58" s="195"/>
      <c r="AG58" s="196">
        <f>SUM(AG30,AG57)</f>
        <v>-43</v>
      </c>
      <c r="AH58" s="192">
        <v>43</v>
      </c>
      <c r="AI58" s="193"/>
      <c r="AJ58" s="190"/>
      <c r="AK58" s="196">
        <f>SUM(AK30,AK57)</f>
        <v>-38</v>
      </c>
      <c r="AL58" s="196">
        <f>SUM(AL30,AL57)</f>
        <v>-41</v>
      </c>
      <c r="AM58" s="196">
        <f>SUM(AM30,AM57)</f>
        <v>-41</v>
      </c>
      <c r="AN58" s="192"/>
      <c r="AO58" s="197"/>
      <c r="AP58" s="196">
        <f>SUM(AP30,AP57)</f>
        <v>-43</v>
      </c>
      <c r="AQ58" s="196">
        <f>SUM(AQ30,AQ57)</f>
        <v>-40</v>
      </c>
      <c r="AR58" s="196">
        <f>SUM(AR57,AR30)</f>
        <v>-42</v>
      </c>
      <c r="AS58" s="198">
        <f>SUM(AS57,AS30)</f>
        <v>0</v>
      </c>
      <c r="AT58" s="199"/>
      <c r="AU58" s="196"/>
      <c r="AV58" s="192"/>
      <c r="AW58" s="193"/>
      <c r="AX58" s="190"/>
      <c r="AY58" s="200" t="s">
        <v>19</v>
      </c>
      <c r="AZ58" s="201"/>
      <c r="BA58" s="141">
        <f>SUM(H58:AV58)</f>
        <v>-797</v>
      </c>
      <c r="BB58" s="142"/>
      <c r="BC58" s="143">
        <f>SUM(BC57,BC30)</f>
        <v>967</v>
      </c>
      <c r="BD58" s="142"/>
      <c r="BE58" s="143" t="s">
        <v>19</v>
      </c>
      <c r="BF58" s="141"/>
      <c r="BG58" s="141"/>
      <c r="BH58" s="141"/>
      <c r="BI58" s="141"/>
      <c r="BJ58" s="141"/>
      <c r="BK58" s="142"/>
    </row>
    <row r="59" ht="5" customHeight="1" spans="1:63">
      <c r="A59" s="202"/>
      <c r="B59" s="2"/>
      <c r="C59" s="2"/>
      <c r="D59" s="2"/>
      <c r="E59" s="2"/>
      <c r="F59" s="2"/>
      <c r="G59" s="2"/>
      <c r="H59" s="2"/>
      <c r="I59" s="2"/>
      <c r="J59" s="2"/>
      <c r="K59" s="2"/>
      <c r="L59" s="2"/>
      <c r="M59" s="2"/>
      <c r="N59" s="2"/>
      <c r="O59" s="2"/>
      <c r="P59" s="2"/>
      <c r="Q59" s="2"/>
      <c r="R59" s="2"/>
      <c r="S59" s="2"/>
      <c r="T59" s="2"/>
      <c r="U59" s="2"/>
      <c r="V59" s="2"/>
      <c r="W59" s="2"/>
      <c r="X59" s="2"/>
      <c r="Y59" s="2"/>
      <c r="Z59" s="2"/>
      <c r="AA59" s="2"/>
      <c r="AB59" s="5"/>
      <c r="AC59" s="5"/>
      <c r="AD59" s="5"/>
      <c r="AE59" s="5"/>
      <c r="AF59" s="5"/>
      <c r="AG59" s="5"/>
      <c r="AH59" s="5"/>
      <c r="AI59" s="5"/>
      <c r="AJ59" s="203" t="s">
        <v>90</v>
      </c>
      <c r="AK59" s="204"/>
      <c r="AL59" s="204"/>
      <c r="AM59" s="204"/>
      <c r="AN59" s="204"/>
      <c r="AO59" s="204"/>
      <c r="AP59" s="204"/>
      <c r="AQ59" s="204"/>
      <c r="AR59" s="204"/>
      <c r="AS59" s="204"/>
      <c r="AT59" s="204"/>
      <c r="AU59" s="204"/>
      <c r="AV59" s="204"/>
      <c r="AW59" s="205"/>
      <c r="AX59" s="5"/>
      <c r="AY59" s="5"/>
      <c r="AZ59" s="5"/>
      <c r="BA59" s="5"/>
      <c r="BB59" s="5"/>
      <c r="BC59" s="5"/>
      <c r="BD59" s="5"/>
      <c r="BE59" s="5"/>
      <c r="BF59" s="5"/>
      <c r="BG59" s="5"/>
      <c r="BH59" s="5"/>
      <c r="BI59" s="5"/>
      <c r="BJ59" s="5"/>
      <c r="BK59" s="5"/>
    </row>
    <row r="60" ht="5" customHeight="1" spans="1:6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5"/>
      <c r="AC60" s="5"/>
      <c r="AD60" s="5"/>
      <c r="AE60" s="5"/>
      <c r="AF60" s="5"/>
      <c r="AG60" s="5"/>
      <c r="AH60" s="5"/>
      <c r="AI60" s="5"/>
      <c r="AJ60" s="203"/>
      <c r="AK60" s="204"/>
      <c r="AL60" s="204"/>
      <c r="AM60" s="204"/>
      <c r="AN60" s="204"/>
      <c r="AO60" s="204"/>
      <c r="AP60" s="204"/>
      <c r="AQ60" s="204"/>
      <c r="AR60" s="204"/>
      <c r="AS60" s="204"/>
      <c r="AT60" s="204"/>
      <c r="AU60" s="204"/>
      <c r="AV60" s="204"/>
      <c r="AW60" s="205"/>
      <c r="AX60" s="5"/>
      <c r="AY60" s="5"/>
      <c r="AZ60" s="5"/>
      <c r="BA60" s="206" t="s">
        <v>91</v>
      </c>
      <c r="BB60" s="207"/>
      <c r="BC60" s="208"/>
      <c r="BD60" s="12">
        <v>22</v>
      </c>
      <c r="BE60" s="209" t="s">
        <v>92</v>
      </c>
      <c r="BF60" s="22" t="s">
        <v>93</v>
      </c>
      <c r="BG60" s="22"/>
      <c r="BH60" s="22"/>
      <c r="BI60" s="22"/>
      <c r="BJ60" s="22"/>
      <c r="BK60" s="23"/>
    </row>
    <row r="61" ht="5" customHeight="1" spans="1:63">
      <c r="A61" s="210" t="s">
        <v>94</v>
      </c>
      <c r="B61" s="2"/>
      <c r="C61" s="2"/>
      <c r="D61" s="2"/>
      <c r="E61" s="2"/>
      <c r="F61" s="2"/>
      <c r="G61" s="2"/>
      <c r="H61" s="2"/>
      <c r="I61" s="2"/>
      <c r="J61" s="2"/>
      <c r="K61" s="2"/>
      <c r="L61" s="2"/>
      <c r="M61" s="2"/>
      <c r="N61" s="2"/>
      <c r="O61" s="2"/>
      <c r="P61" s="2"/>
      <c r="Q61" s="2"/>
      <c r="R61" s="2"/>
      <c r="S61" s="2"/>
      <c r="T61" s="2"/>
      <c r="U61" s="2"/>
      <c r="V61" s="2"/>
      <c r="W61" s="2"/>
      <c r="X61" s="2"/>
      <c r="Y61" s="2"/>
      <c r="Z61" s="2"/>
      <c r="AA61" s="2"/>
      <c r="AB61" s="5"/>
      <c r="AC61" s="5"/>
      <c r="AD61" s="5"/>
      <c r="AE61" s="5"/>
      <c r="AF61" s="5"/>
      <c r="AG61" s="5"/>
      <c r="AH61" s="5"/>
      <c r="AI61" s="5"/>
      <c r="AJ61" s="211" t="s">
        <v>95</v>
      </c>
      <c r="AK61" s="212"/>
      <c r="AL61" s="212"/>
      <c r="AM61" s="212"/>
      <c r="AN61" s="212"/>
      <c r="AO61" s="212"/>
      <c r="AP61" s="212"/>
      <c r="AQ61" s="212"/>
      <c r="AR61" s="212"/>
      <c r="AS61" s="212"/>
      <c r="AT61" s="212"/>
      <c r="AU61" s="212"/>
      <c r="AV61" s="212"/>
      <c r="AW61" s="213"/>
      <c r="AX61" s="5"/>
      <c r="AY61" s="5"/>
      <c r="AZ61" s="5"/>
      <c r="BA61" s="214"/>
      <c r="BB61" s="215"/>
      <c r="BC61" s="216"/>
      <c r="BD61" s="24"/>
      <c r="BE61" s="217"/>
      <c r="BF61" s="218"/>
      <c r="BG61" s="218"/>
      <c r="BH61" s="218"/>
      <c r="BI61" s="218"/>
      <c r="BJ61" s="218"/>
      <c r="BK61" s="219"/>
    </row>
    <row r="62" ht="10" customHeight="1" spans="1:6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5"/>
      <c r="AC62" s="5"/>
      <c r="AD62" s="5"/>
      <c r="AE62" s="5"/>
      <c r="AF62" s="5"/>
      <c r="AG62" s="5"/>
      <c r="AH62" s="5"/>
      <c r="AI62" s="5"/>
      <c r="AJ62" s="211"/>
      <c r="AK62" s="2"/>
      <c r="AL62" s="2"/>
      <c r="AM62" s="2"/>
      <c r="AN62" s="2"/>
      <c r="AO62" s="2"/>
      <c r="AP62" s="2"/>
      <c r="AQ62" s="2"/>
      <c r="AR62" s="2"/>
      <c r="AS62" s="2"/>
      <c r="AT62" s="2"/>
      <c r="AU62" s="2"/>
      <c r="AV62" s="2"/>
      <c r="AW62" s="213"/>
      <c r="AX62" s="5"/>
      <c r="AY62" s="5"/>
      <c r="AZ62" s="5"/>
      <c r="BA62" s="220"/>
      <c r="BB62" s="221"/>
      <c r="BC62" s="222"/>
      <c r="BD62" s="223"/>
      <c r="BE62" s="224"/>
      <c r="BF62" s="225" t="s">
        <v>20</v>
      </c>
      <c r="BG62" s="226"/>
      <c r="BH62" s="227" t="s">
        <v>24</v>
      </c>
      <c r="BI62" s="228" t="s">
        <v>96</v>
      </c>
      <c r="BJ62" s="225"/>
      <c r="BK62" s="229"/>
    </row>
    <row r="63" ht="5" customHeight="1" spans="1: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5"/>
      <c r="AC63" s="5"/>
      <c r="AD63" s="5"/>
      <c r="AE63" s="5"/>
      <c r="AF63" s="5"/>
      <c r="AG63" s="5"/>
      <c r="AH63" s="5"/>
      <c r="AI63" s="5"/>
      <c r="AJ63" s="211"/>
      <c r="AK63" s="212"/>
      <c r="AL63" s="212"/>
      <c r="AM63" s="212"/>
      <c r="AN63" s="212"/>
      <c r="AO63" s="212"/>
      <c r="AP63" s="212"/>
      <c r="AQ63" s="212"/>
      <c r="AR63" s="212"/>
      <c r="AS63" s="212"/>
      <c r="AT63" s="212"/>
      <c r="AU63" s="212"/>
      <c r="AV63" s="212"/>
      <c r="AW63" s="213"/>
      <c r="AX63" s="5"/>
      <c r="AY63" s="5"/>
      <c r="AZ63" s="5"/>
      <c r="BA63" s="230" t="s">
        <v>97</v>
      </c>
      <c r="BB63" s="231"/>
      <c r="BC63" s="231"/>
      <c r="BD63" s="231"/>
      <c r="BE63" s="232"/>
      <c r="BF63" s="233">
        <v>17</v>
      </c>
      <c r="BG63" s="234"/>
      <c r="BH63" s="235">
        <v>24</v>
      </c>
      <c r="BI63" s="233">
        <f>SUM(BF63:BH66)</f>
        <v>41</v>
      </c>
      <c r="BJ63" s="236"/>
      <c r="BK63" s="237"/>
    </row>
    <row r="64" ht="10" customHeight="1" spans="1:6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5"/>
      <c r="AC64" s="5"/>
      <c r="AD64" s="5"/>
      <c r="AE64" s="5"/>
      <c r="AF64" s="5"/>
      <c r="AG64" s="5"/>
      <c r="AH64" s="5"/>
      <c r="AI64" s="5"/>
      <c r="AJ64" s="203" t="s">
        <v>98</v>
      </c>
      <c r="AK64" s="204"/>
      <c r="AL64" s="204"/>
      <c r="AM64" s="204"/>
      <c r="AN64" s="204"/>
      <c r="AO64" s="204"/>
      <c r="AP64" s="204"/>
      <c r="AQ64" s="204"/>
      <c r="AR64" s="204"/>
      <c r="AS64" s="204"/>
      <c r="AT64" s="204"/>
      <c r="AU64" s="204"/>
      <c r="AV64" s="204"/>
      <c r="AW64" s="205"/>
      <c r="AX64" s="5"/>
      <c r="AY64" s="5"/>
      <c r="AZ64" s="5"/>
      <c r="BA64" s="230"/>
      <c r="BB64" s="2"/>
      <c r="BC64" s="2"/>
      <c r="BD64" s="2"/>
      <c r="BE64" s="232"/>
      <c r="BF64" s="238"/>
      <c r="BG64" s="239"/>
      <c r="BH64" s="240"/>
      <c r="BI64" s="238"/>
      <c r="BJ64" s="2"/>
      <c r="BK64" s="241"/>
    </row>
    <row r="65" ht="10" customHeight="1" spans="1:63">
      <c r="A65" s="5"/>
      <c r="B65" s="242" t="s">
        <v>99</v>
      </c>
      <c r="C65" s="2"/>
      <c r="D65" s="2"/>
      <c r="E65" s="2"/>
      <c r="F65" s="2"/>
      <c r="G65" s="2"/>
      <c r="H65" s="2"/>
      <c r="I65" s="243" t="s">
        <v>100</v>
      </c>
      <c r="J65" s="243"/>
      <c r="K65" s="243"/>
      <c r="L65" s="243"/>
      <c r="M65" s="243"/>
      <c r="N65" s="243"/>
      <c r="O65" s="243"/>
      <c r="P65" s="243"/>
      <c r="Q65" s="243"/>
      <c r="R65" s="243"/>
      <c r="S65" s="243"/>
      <c r="T65" s="243"/>
      <c r="U65" s="243"/>
      <c r="V65" s="244" t="s">
        <v>101</v>
      </c>
      <c r="W65" s="2"/>
      <c r="X65" s="2"/>
      <c r="Y65" s="2"/>
      <c r="Z65" s="5"/>
      <c r="AA65" s="5"/>
      <c r="AB65" s="5"/>
      <c r="AC65" s="5"/>
      <c r="AD65" s="5"/>
      <c r="AE65" s="5"/>
      <c r="AF65" s="5"/>
      <c r="AG65" s="5"/>
      <c r="AH65" s="5"/>
      <c r="AI65" s="5"/>
      <c r="AJ65" s="203" t="s">
        <v>102</v>
      </c>
      <c r="AK65" s="204"/>
      <c r="AL65" s="204"/>
      <c r="AM65" s="204"/>
      <c r="AN65" s="204"/>
      <c r="AO65" s="204"/>
      <c r="AP65" s="204"/>
      <c r="AQ65" s="204"/>
      <c r="AR65" s="204"/>
      <c r="AS65" s="204"/>
      <c r="AT65" s="204"/>
      <c r="AU65" s="204"/>
      <c r="AV65" s="204"/>
      <c r="AW65" s="205"/>
      <c r="AX65" s="5"/>
      <c r="AY65" s="5"/>
      <c r="AZ65" s="5"/>
      <c r="BA65" s="230"/>
      <c r="BB65" s="2"/>
      <c r="BC65" s="2"/>
      <c r="BD65" s="2"/>
      <c r="BE65" s="232"/>
      <c r="BF65" s="238"/>
      <c r="BG65" s="239"/>
      <c r="BH65" s="240"/>
      <c r="BI65" s="238"/>
      <c r="BJ65" s="2"/>
      <c r="BK65" s="241"/>
    </row>
    <row r="66" ht="1" customHeight="1" spans="1:63">
      <c r="A66" s="5"/>
      <c r="B66" s="2"/>
      <c r="C66" s="2"/>
      <c r="D66" s="2"/>
      <c r="E66" s="2"/>
      <c r="F66" s="2"/>
      <c r="G66" s="2"/>
      <c r="H66" s="2"/>
      <c r="I66" s="244" t="s">
        <v>103</v>
      </c>
      <c r="J66" s="2"/>
      <c r="K66" s="2"/>
      <c r="L66" s="2"/>
      <c r="M66" s="2"/>
      <c r="N66" s="2"/>
      <c r="O66" s="2"/>
      <c r="P66" s="2"/>
      <c r="Q66" s="2"/>
      <c r="R66" s="2"/>
      <c r="S66" s="2"/>
      <c r="T66" s="2"/>
      <c r="U66" s="2"/>
      <c r="V66" s="2"/>
      <c r="W66" s="2"/>
      <c r="X66" s="2"/>
      <c r="Y66" s="2"/>
      <c r="Z66" s="5"/>
      <c r="AA66" s="5"/>
      <c r="AB66" s="5"/>
      <c r="AC66" s="5"/>
      <c r="AD66" s="5"/>
      <c r="AE66" s="5"/>
      <c r="AF66" s="5"/>
      <c r="AG66" s="5"/>
      <c r="AH66" s="5"/>
      <c r="AI66" s="5"/>
      <c r="AJ66" s="245" t="s">
        <v>104</v>
      </c>
      <c r="AK66" s="246"/>
      <c r="AL66" s="246"/>
      <c r="AM66" s="246"/>
      <c r="AN66" s="246"/>
      <c r="AO66" s="246"/>
      <c r="AP66" s="246"/>
      <c r="AQ66" s="246"/>
      <c r="AR66" s="246"/>
      <c r="AS66" s="246"/>
      <c r="AT66" s="246"/>
      <c r="AU66" s="246"/>
      <c r="AV66" s="246"/>
      <c r="AW66" s="247"/>
      <c r="AX66" s="5"/>
      <c r="AY66" s="5"/>
      <c r="AZ66" s="5"/>
      <c r="BA66" s="248"/>
      <c r="BB66" s="249"/>
      <c r="BC66" s="249"/>
      <c r="BD66" s="249"/>
      <c r="BE66" s="250"/>
      <c r="BF66" s="251"/>
      <c r="BG66" s="252"/>
      <c r="BH66" s="253"/>
      <c r="BI66" s="251"/>
      <c r="BJ66" s="254"/>
      <c r="BK66" s="255"/>
    </row>
    <row r="67" ht="9" customHeight="1" spans="1:63">
      <c r="A67" s="5"/>
      <c r="B67" s="2"/>
      <c r="C67" s="2"/>
      <c r="D67" s="2"/>
      <c r="E67" s="2"/>
      <c r="F67" s="2"/>
      <c r="G67" s="2"/>
      <c r="H67" s="2"/>
      <c r="I67" s="2"/>
      <c r="J67" s="2"/>
      <c r="K67" s="2"/>
      <c r="L67" s="2"/>
      <c r="M67" s="2"/>
      <c r="N67" s="2"/>
      <c r="O67" s="2"/>
      <c r="P67" s="2"/>
      <c r="Q67" s="2"/>
      <c r="R67" s="2"/>
      <c r="S67" s="2"/>
      <c r="T67" s="2"/>
      <c r="U67" s="2"/>
      <c r="V67" s="2"/>
      <c r="W67" s="2"/>
      <c r="X67" s="2"/>
      <c r="Y67" s="2"/>
      <c r="Z67" s="5"/>
      <c r="AA67" s="5"/>
      <c r="AB67" s="5"/>
      <c r="AC67" s="5"/>
      <c r="AD67" s="5"/>
      <c r="AE67" s="5"/>
      <c r="AF67" s="5"/>
      <c r="AG67" s="5"/>
      <c r="AH67" s="5"/>
      <c r="AI67" s="5"/>
      <c r="AJ67" s="245"/>
      <c r="AK67" s="2"/>
      <c r="AL67" s="2"/>
      <c r="AM67" s="2"/>
      <c r="AN67" s="2"/>
      <c r="AO67" s="2"/>
      <c r="AP67" s="2"/>
      <c r="AQ67" s="2"/>
      <c r="AR67" s="2"/>
      <c r="AS67" s="2"/>
      <c r="AT67" s="2"/>
      <c r="AU67" s="2"/>
      <c r="AV67" s="2"/>
      <c r="AW67" s="247"/>
      <c r="AX67" s="5"/>
      <c r="AY67" s="5"/>
      <c r="AZ67" s="5"/>
      <c r="BA67" s="256" t="s">
        <v>105</v>
      </c>
      <c r="BB67" s="257"/>
      <c r="BC67" s="258"/>
      <c r="BD67" s="259" t="s">
        <v>106</v>
      </c>
      <c r="BE67" s="260"/>
      <c r="BF67" s="261">
        <v>18</v>
      </c>
      <c r="BG67" s="262"/>
      <c r="BH67" s="235">
        <v>26</v>
      </c>
      <c r="BI67" s="261">
        <f>SUM(BH67,BF67)</f>
        <v>44</v>
      </c>
      <c r="BJ67" s="263"/>
      <c r="BK67" s="264"/>
    </row>
    <row r="68" ht="4" customHeight="1" spans="1:63">
      <c r="A68" s="5"/>
      <c r="B68" s="242" t="s">
        <v>107</v>
      </c>
      <c r="C68" s="2"/>
      <c r="D68" s="2"/>
      <c r="E68" s="2"/>
      <c r="F68" s="2"/>
      <c r="G68" s="2"/>
      <c r="H68" s="2"/>
      <c r="I68" s="265" t="s">
        <v>108</v>
      </c>
      <c r="J68" s="265"/>
      <c r="K68" s="265"/>
      <c r="L68" s="265"/>
      <c r="M68" s="265"/>
      <c r="N68" s="265"/>
      <c r="O68" s="265"/>
      <c r="P68" s="265"/>
      <c r="Q68" s="265"/>
      <c r="R68" s="265"/>
      <c r="S68" s="265"/>
      <c r="T68" s="265"/>
      <c r="U68" s="265"/>
      <c r="V68" s="5"/>
      <c r="W68" s="5"/>
      <c r="X68" s="5"/>
      <c r="Y68" s="5"/>
      <c r="Z68" s="5"/>
      <c r="AA68" s="5"/>
      <c r="AB68" s="5"/>
      <c r="AC68" s="5"/>
      <c r="AD68" s="5"/>
      <c r="AE68" s="5"/>
      <c r="AF68" s="5"/>
      <c r="AG68" s="5"/>
      <c r="AH68" s="5"/>
      <c r="AI68" s="5"/>
      <c r="AJ68" s="245"/>
      <c r="AK68" s="2"/>
      <c r="AL68" s="2"/>
      <c r="AM68" s="2"/>
      <c r="AN68" s="2"/>
      <c r="AO68" s="2"/>
      <c r="AP68" s="2"/>
      <c r="AQ68" s="2"/>
      <c r="AR68" s="2"/>
      <c r="AS68" s="2"/>
      <c r="AT68" s="2"/>
      <c r="AU68" s="2"/>
      <c r="AV68" s="2"/>
      <c r="AW68" s="247"/>
      <c r="AX68" s="5"/>
      <c r="AY68" s="5"/>
      <c r="AZ68" s="5"/>
      <c r="BA68" s="256"/>
      <c r="BB68" s="257"/>
      <c r="BC68" s="258"/>
      <c r="BD68" s="259"/>
      <c r="BE68" s="260"/>
      <c r="BF68" s="266"/>
      <c r="BG68" s="267"/>
      <c r="BH68" s="240"/>
      <c r="BI68" s="266"/>
      <c r="BJ68" s="2"/>
      <c r="BK68" s="268"/>
    </row>
    <row r="69" ht="6" customHeight="1" spans="1:63">
      <c r="A69" s="5"/>
      <c r="B69" s="2"/>
      <c r="C69" s="2"/>
      <c r="D69" s="2"/>
      <c r="E69" s="2"/>
      <c r="F69" s="2"/>
      <c r="G69" s="2"/>
      <c r="H69" s="2"/>
      <c r="I69" s="243"/>
      <c r="J69" s="243"/>
      <c r="K69" s="243"/>
      <c r="L69" s="243"/>
      <c r="M69" s="243"/>
      <c r="N69" s="243"/>
      <c r="O69" s="243"/>
      <c r="P69" s="243"/>
      <c r="Q69" s="243"/>
      <c r="R69" s="243"/>
      <c r="S69" s="243"/>
      <c r="T69" s="243"/>
      <c r="U69" s="243"/>
      <c r="V69" s="5"/>
      <c r="W69" s="5"/>
      <c r="X69" s="5"/>
      <c r="Y69" s="5"/>
      <c r="Z69" s="5"/>
      <c r="AA69" s="5"/>
      <c r="AB69" s="5"/>
      <c r="AC69" s="5"/>
      <c r="AD69" s="5"/>
      <c r="AE69" s="5"/>
      <c r="AF69" s="5"/>
      <c r="AG69" s="5"/>
      <c r="AH69" s="5"/>
      <c r="AI69" s="5"/>
      <c r="AJ69" s="245"/>
      <c r="AK69" s="2"/>
      <c r="AL69" s="2"/>
      <c r="AM69" s="2"/>
      <c r="AN69" s="2"/>
      <c r="AO69" s="2"/>
      <c r="AP69" s="2"/>
      <c r="AQ69" s="2"/>
      <c r="AR69" s="2"/>
      <c r="AS69" s="2"/>
      <c r="AT69" s="2"/>
      <c r="AU69" s="2"/>
      <c r="AV69" s="2"/>
      <c r="AW69" s="247"/>
      <c r="AX69" s="5"/>
      <c r="AY69" s="5"/>
      <c r="AZ69" s="5"/>
      <c r="BA69" s="269" t="s">
        <v>109</v>
      </c>
      <c r="BB69" s="270"/>
      <c r="BC69" s="270"/>
      <c r="BD69" s="270"/>
      <c r="BE69" s="271"/>
      <c r="BF69" s="266"/>
      <c r="BG69" s="267"/>
      <c r="BH69" s="240"/>
      <c r="BI69" s="266"/>
      <c r="BJ69" s="2"/>
      <c r="BK69" s="268"/>
    </row>
    <row r="70" ht="6" customHeight="1" spans="1:63">
      <c r="A70" s="5"/>
      <c r="B70" s="2"/>
      <c r="C70" s="2"/>
      <c r="D70" s="2"/>
      <c r="E70" s="2"/>
      <c r="F70" s="2"/>
      <c r="G70" s="2"/>
      <c r="H70" s="2"/>
      <c r="I70" s="244" t="s">
        <v>110</v>
      </c>
      <c r="J70" s="2"/>
      <c r="K70" s="2"/>
      <c r="L70" s="2"/>
      <c r="M70" s="2"/>
      <c r="N70" s="2"/>
      <c r="O70" s="2"/>
      <c r="P70" s="2"/>
      <c r="Q70" s="2"/>
      <c r="R70" s="2"/>
      <c r="S70" s="2"/>
      <c r="T70" s="2"/>
      <c r="U70" s="2"/>
      <c r="V70" s="5"/>
      <c r="W70" s="5"/>
      <c r="X70" s="5"/>
      <c r="Y70" s="5"/>
      <c r="Z70" s="5"/>
      <c r="AA70" s="5"/>
      <c r="AB70" s="5"/>
      <c r="AC70" s="5"/>
      <c r="AD70" s="5"/>
      <c r="AE70" s="5"/>
      <c r="AF70" s="5"/>
      <c r="AG70" s="5"/>
      <c r="AH70" s="5"/>
      <c r="AI70" s="5"/>
      <c r="AJ70" s="245"/>
      <c r="AK70" s="2"/>
      <c r="AL70" s="2"/>
      <c r="AM70" s="2"/>
      <c r="AN70" s="2"/>
      <c r="AO70" s="2"/>
      <c r="AP70" s="2"/>
      <c r="AQ70" s="2"/>
      <c r="AR70" s="2"/>
      <c r="AS70" s="2"/>
      <c r="AT70" s="2"/>
      <c r="AU70" s="2"/>
      <c r="AV70" s="2"/>
      <c r="AW70" s="247"/>
      <c r="AX70" s="5"/>
      <c r="AY70" s="5"/>
      <c r="AZ70" s="5"/>
      <c r="BA70" s="272"/>
      <c r="BB70" s="273"/>
      <c r="BC70" s="273"/>
      <c r="BD70" s="273"/>
      <c r="BE70" s="274"/>
      <c r="BF70" s="275"/>
      <c r="BG70" s="276"/>
      <c r="BH70" s="253"/>
      <c r="BI70" s="275"/>
      <c r="BJ70" s="277"/>
      <c r="BK70" s="278"/>
    </row>
    <row r="71" ht="4" customHeight="1" spans="1:63">
      <c r="A71" s="5"/>
      <c r="B71" s="2"/>
      <c r="C71" s="2"/>
      <c r="D71" s="2"/>
      <c r="E71" s="2"/>
      <c r="F71" s="2"/>
      <c r="G71" s="2"/>
      <c r="H71" s="2"/>
      <c r="I71" s="2"/>
      <c r="J71" s="2"/>
      <c r="K71" s="2"/>
      <c r="L71" s="2"/>
      <c r="M71" s="2"/>
      <c r="N71" s="2"/>
      <c r="O71" s="2"/>
      <c r="P71" s="2"/>
      <c r="Q71" s="2"/>
      <c r="R71" s="2"/>
      <c r="S71" s="2"/>
      <c r="T71" s="2"/>
      <c r="U71" s="2"/>
      <c r="V71" s="5"/>
      <c r="W71" s="5"/>
      <c r="X71" s="5"/>
      <c r="Y71" s="5"/>
      <c r="Z71" s="5"/>
      <c r="AA71" s="5"/>
      <c r="AB71" s="5"/>
      <c r="AC71" s="5"/>
      <c r="AD71" s="5"/>
      <c r="AE71" s="5"/>
      <c r="AF71" s="5"/>
      <c r="AG71" s="5"/>
      <c r="AH71" s="5"/>
      <c r="AI71" s="5"/>
      <c r="AJ71" s="245"/>
      <c r="AK71" s="2"/>
      <c r="AL71" s="2"/>
      <c r="AM71" s="2"/>
      <c r="AN71" s="2"/>
      <c r="AO71" s="2"/>
      <c r="AP71" s="2"/>
      <c r="AQ71" s="2"/>
      <c r="AR71" s="2"/>
      <c r="AS71" s="2"/>
      <c r="AT71" s="2"/>
      <c r="AU71" s="2"/>
      <c r="AV71" s="2"/>
      <c r="AW71" s="247"/>
      <c r="AX71" s="5"/>
      <c r="AY71" s="5"/>
      <c r="AZ71" s="5"/>
      <c r="BA71" s="279" t="s">
        <v>111</v>
      </c>
      <c r="BB71" s="280"/>
      <c r="BC71" s="280"/>
      <c r="BD71" s="280"/>
      <c r="BE71" s="281"/>
      <c r="BF71" s="282">
        <v>18</v>
      </c>
      <c r="BG71" s="283"/>
      <c r="BH71" s="284">
        <v>25</v>
      </c>
      <c r="BI71" s="285">
        <f>SUM(BF71:BH74)</f>
        <v>43</v>
      </c>
      <c r="BJ71" s="286"/>
      <c r="BK71" s="287"/>
    </row>
    <row r="72" ht="6" customHeight="1" spans="1:63">
      <c r="A72" s="5"/>
      <c r="B72" s="242" t="s">
        <v>112</v>
      </c>
      <c r="C72" s="2"/>
      <c r="D72" s="2"/>
      <c r="E72" s="2"/>
      <c r="F72" s="2"/>
      <c r="G72" s="2"/>
      <c r="H72" s="2"/>
      <c r="I72" s="265" t="s">
        <v>113</v>
      </c>
      <c r="J72" s="265"/>
      <c r="K72" s="265"/>
      <c r="L72" s="265"/>
      <c r="M72" s="265"/>
      <c r="N72" s="265"/>
      <c r="O72" s="265"/>
      <c r="P72" s="265"/>
      <c r="Q72" s="265"/>
      <c r="R72" s="265"/>
      <c r="S72" s="265"/>
      <c r="T72" s="265"/>
      <c r="U72" s="265"/>
      <c r="V72" s="244" t="s">
        <v>101</v>
      </c>
      <c r="W72" s="2"/>
      <c r="X72" s="2"/>
      <c r="Y72" s="2"/>
      <c r="Z72" s="5"/>
      <c r="AA72" s="5"/>
      <c r="AB72" s="5"/>
      <c r="AC72" s="5"/>
      <c r="AD72" s="5"/>
      <c r="AE72" s="5"/>
      <c r="AF72" s="5"/>
      <c r="AG72" s="5"/>
      <c r="AH72" s="5"/>
      <c r="AI72" s="5"/>
      <c r="AJ72" s="245"/>
      <c r="AK72" s="2"/>
      <c r="AL72" s="2"/>
      <c r="AM72" s="2"/>
      <c r="AN72" s="2"/>
      <c r="AO72" s="2"/>
      <c r="AP72" s="2"/>
      <c r="AQ72" s="2"/>
      <c r="AR72" s="2"/>
      <c r="AS72" s="2"/>
      <c r="AT72" s="2"/>
      <c r="AU72" s="2"/>
      <c r="AV72" s="2"/>
      <c r="AW72" s="247"/>
      <c r="AX72" s="5"/>
      <c r="AY72" s="5"/>
      <c r="AZ72" s="5"/>
      <c r="BA72" s="288"/>
      <c r="BB72" s="289"/>
      <c r="BC72" s="289"/>
      <c r="BD72" s="289"/>
      <c r="BE72" s="290"/>
      <c r="BF72" s="291"/>
      <c r="BG72" s="292"/>
      <c r="BH72" s="293"/>
      <c r="BI72" s="294"/>
      <c r="BJ72" s="295"/>
      <c r="BK72" s="296"/>
    </row>
    <row r="73" ht="4" customHeight="1" spans="1:63">
      <c r="A73" s="5"/>
      <c r="B73" s="2"/>
      <c r="C73" s="2"/>
      <c r="D73" s="2"/>
      <c r="E73" s="2"/>
      <c r="F73" s="2"/>
      <c r="G73" s="2"/>
      <c r="H73" s="2"/>
      <c r="I73" s="243"/>
      <c r="J73" s="243"/>
      <c r="K73" s="243"/>
      <c r="L73" s="243"/>
      <c r="M73" s="243"/>
      <c r="N73" s="243"/>
      <c r="O73" s="243"/>
      <c r="P73" s="243"/>
      <c r="Q73" s="243"/>
      <c r="R73" s="243"/>
      <c r="S73" s="243"/>
      <c r="T73" s="243"/>
      <c r="U73" s="243"/>
      <c r="V73" s="2"/>
      <c r="W73" s="2"/>
      <c r="X73" s="2"/>
      <c r="Y73" s="2"/>
      <c r="Z73" s="5"/>
      <c r="AA73" s="5"/>
      <c r="AB73" s="5"/>
      <c r="AC73" s="5"/>
      <c r="AD73" s="5"/>
      <c r="AE73" s="5"/>
      <c r="AF73" s="5"/>
      <c r="AG73" s="5"/>
      <c r="AH73" s="5"/>
      <c r="AI73" s="5"/>
      <c r="AJ73" s="245"/>
      <c r="AK73" s="246"/>
      <c r="AL73" s="246"/>
      <c r="AM73" s="246"/>
      <c r="AN73" s="246"/>
      <c r="AO73" s="246"/>
      <c r="AP73" s="246"/>
      <c r="AQ73" s="246"/>
      <c r="AR73" s="246"/>
      <c r="AS73" s="246"/>
      <c r="AT73" s="246"/>
      <c r="AU73" s="246"/>
      <c r="AV73" s="246"/>
      <c r="AW73" s="247"/>
      <c r="AX73" s="5"/>
      <c r="AY73" s="5"/>
      <c r="AZ73" s="5"/>
      <c r="BA73" s="297" t="s">
        <v>114</v>
      </c>
      <c r="BB73" s="298"/>
      <c r="BC73" s="298"/>
      <c r="BD73" s="298"/>
      <c r="BE73" s="299"/>
      <c r="BF73" s="291"/>
      <c r="BG73" s="292"/>
      <c r="BH73" s="293"/>
      <c r="BI73" s="294"/>
      <c r="BJ73" s="295"/>
      <c r="BK73" s="296"/>
    </row>
    <row r="74" ht="6" customHeight="1" spans="1:63">
      <c r="A74" s="5"/>
      <c r="B74" s="2"/>
      <c r="C74" s="2"/>
      <c r="D74" s="2"/>
      <c r="E74" s="2"/>
      <c r="F74" s="2"/>
      <c r="G74" s="2"/>
      <c r="H74" s="2"/>
      <c r="I74" s="244" t="s">
        <v>100</v>
      </c>
      <c r="J74" s="2"/>
      <c r="K74" s="2"/>
      <c r="L74" s="2"/>
      <c r="M74" s="2"/>
      <c r="N74" s="2"/>
      <c r="O74" s="2"/>
      <c r="P74" s="2"/>
      <c r="Q74" s="2"/>
      <c r="R74" s="2"/>
      <c r="S74" s="2"/>
      <c r="T74" s="2"/>
      <c r="U74" s="2"/>
      <c r="V74" s="2"/>
      <c r="W74" s="2"/>
      <c r="X74" s="2"/>
      <c r="Y74" s="2"/>
      <c r="Z74" s="5"/>
      <c r="AA74" s="5"/>
      <c r="AB74" s="5"/>
      <c r="AC74" s="5"/>
      <c r="AD74" s="5"/>
      <c r="AE74" s="5"/>
      <c r="AF74" s="5"/>
      <c r="AG74" s="5"/>
      <c r="AH74" s="5"/>
      <c r="AI74" s="5"/>
      <c r="AJ74" s="203" t="s">
        <v>115</v>
      </c>
      <c r="AK74" s="204"/>
      <c r="AL74" s="204"/>
      <c r="AM74" s="204"/>
      <c r="AN74" s="204"/>
      <c r="AO74" s="204"/>
      <c r="AP74" s="204"/>
      <c r="AQ74" s="204"/>
      <c r="AR74" s="204"/>
      <c r="AS74" s="204"/>
      <c r="AT74" s="204"/>
      <c r="AU74" s="204"/>
      <c r="AV74" s="204"/>
      <c r="AW74" s="205"/>
      <c r="AX74" s="5"/>
      <c r="AY74" s="5"/>
      <c r="AZ74" s="5"/>
      <c r="BA74" s="300"/>
      <c r="BB74" s="301"/>
      <c r="BC74" s="301"/>
      <c r="BD74" s="301"/>
      <c r="BE74" s="302"/>
      <c r="BF74" s="303"/>
      <c r="BG74" s="304"/>
      <c r="BH74" s="305"/>
      <c r="BI74" s="306"/>
      <c r="BJ74" s="307"/>
      <c r="BK74" s="308"/>
    </row>
    <row r="75" ht="4" customHeight="1" spans="1:63">
      <c r="A75" s="5"/>
      <c r="B75" s="2"/>
      <c r="C75" s="2"/>
      <c r="D75" s="2"/>
      <c r="E75" s="2"/>
      <c r="F75" s="2"/>
      <c r="G75" s="2"/>
      <c r="H75" s="2"/>
      <c r="I75" s="2"/>
      <c r="J75" s="2"/>
      <c r="K75" s="2"/>
      <c r="L75" s="2"/>
      <c r="M75" s="2"/>
      <c r="N75" s="2"/>
      <c r="O75" s="2"/>
      <c r="P75" s="2"/>
      <c r="Q75" s="2"/>
      <c r="R75" s="2"/>
      <c r="S75" s="2"/>
      <c r="T75" s="2"/>
      <c r="U75" s="2"/>
      <c r="V75" s="2"/>
      <c r="W75" s="2"/>
      <c r="X75" s="2"/>
      <c r="Y75" s="2"/>
      <c r="Z75" s="5"/>
      <c r="AA75" s="5"/>
      <c r="AB75" s="5"/>
      <c r="AC75" s="5"/>
      <c r="AD75" s="5"/>
      <c r="AE75" s="5"/>
      <c r="AF75" s="5"/>
      <c r="AG75" s="5"/>
      <c r="AH75" s="5"/>
      <c r="AI75" s="5"/>
      <c r="AJ75" s="203"/>
      <c r="AK75" s="204"/>
      <c r="AL75" s="204"/>
      <c r="AM75" s="204"/>
      <c r="AN75" s="204"/>
      <c r="AO75" s="204"/>
      <c r="AP75" s="204"/>
      <c r="AQ75" s="204"/>
      <c r="AR75" s="204"/>
      <c r="AS75" s="204"/>
      <c r="AT75" s="204"/>
      <c r="AU75" s="204"/>
      <c r="AV75" s="204"/>
      <c r="AW75" s="205"/>
      <c r="AX75" s="5"/>
      <c r="AY75" s="5"/>
      <c r="AZ75" s="5"/>
      <c r="BA75" s="279" t="s">
        <v>116</v>
      </c>
      <c r="BB75" s="280"/>
      <c r="BC75" s="280"/>
      <c r="BD75" s="280"/>
      <c r="BE75" s="281"/>
      <c r="BF75" s="309">
        <f>SUM(BF71*100)/BF63</f>
        <v>105.882352941176</v>
      </c>
      <c r="BG75" s="310"/>
      <c r="BH75" s="311">
        <f>SUM(BH71*100)/BH63</f>
        <v>104.166666666667</v>
      </c>
      <c r="BI75" s="309">
        <f>SUM(BF75:BH78)/2</f>
        <v>105.024509803922</v>
      </c>
      <c r="BJ75" s="312"/>
      <c r="BK75" s="313"/>
    </row>
    <row r="76" ht="6" customHeight="1" spans="1:6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245" t="s">
        <v>117</v>
      </c>
      <c r="AK76" s="246"/>
      <c r="AL76" s="246"/>
      <c r="AM76" s="246"/>
      <c r="AN76" s="246"/>
      <c r="AO76" s="246"/>
      <c r="AP76" s="246"/>
      <c r="AQ76" s="246"/>
      <c r="AR76" s="246"/>
      <c r="AS76" s="246"/>
      <c r="AT76" s="246"/>
      <c r="AU76" s="246"/>
      <c r="AV76" s="246"/>
      <c r="AW76" s="247"/>
      <c r="AX76" s="5"/>
      <c r="AY76" s="5"/>
      <c r="AZ76" s="5"/>
      <c r="BA76" s="288"/>
      <c r="BB76" s="289"/>
      <c r="BC76" s="289"/>
      <c r="BD76" s="289"/>
      <c r="BE76" s="290"/>
      <c r="BF76" s="314"/>
      <c r="BG76" s="315"/>
      <c r="BH76" s="316"/>
      <c r="BI76" s="314"/>
      <c r="BJ76" s="317"/>
      <c r="BK76" s="318"/>
    </row>
    <row r="77" ht="4" customHeight="1" spans="1:6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245"/>
      <c r="AK77" s="2"/>
      <c r="AL77" s="2"/>
      <c r="AM77" s="2"/>
      <c r="AN77" s="2"/>
      <c r="AO77" s="2"/>
      <c r="AP77" s="2"/>
      <c r="AQ77" s="2"/>
      <c r="AR77" s="2"/>
      <c r="AS77" s="2"/>
      <c r="AT77" s="2"/>
      <c r="AU77" s="2"/>
      <c r="AV77" s="2"/>
      <c r="AW77" s="247"/>
      <c r="AX77" s="5"/>
      <c r="AY77" s="5"/>
      <c r="AZ77" s="5"/>
      <c r="BA77" s="297" t="s">
        <v>114</v>
      </c>
      <c r="BB77" s="298"/>
      <c r="BC77" s="298"/>
      <c r="BD77" s="298"/>
      <c r="BE77" s="299"/>
      <c r="BF77" s="314"/>
      <c r="BG77" s="315"/>
      <c r="BH77" s="316"/>
      <c r="BI77" s="314"/>
      <c r="BJ77" s="317"/>
      <c r="BK77" s="318"/>
    </row>
    <row r="78" ht="6" customHeight="1" spans="1:63">
      <c r="A78" s="319" t="s">
        <v>118</v>
      </c>
      <c r="B78" s="2"/>
      <c r="C78" s="2"/>
      <c r="D78" s="2"/>
      <c r="E78" s="2"/>
      <c r="F78" s="2"/>
      <c r="G78" s="2"/>
      <c r="H78" s="2"/>
      <c r="I78" s="2"/>
      <c r="J78" s="2"/>
      <c r="K78" s="2"/>
      <c r="L78" s="2"/>
      <c r="M78" s="2"/>
      <c r="N78" s="2"/>
      <c r="O78" s="2"/>
      <c r="P78" s="2"/>
      <c r="Q78" s="2"/>
      <c r="R78" s="2"/>
      <c r="S78" s="2"/>
      <c r="T78" s="2"/>
      <c r="U78" s="2"/>
      <c r="V78" s="2"/>
      <c r="W78" s="2"/>
      <c r="X78" s="2"/>
      <c r="Y78" s="2"/>
      <c r="Z78" s="2"/>
      <c r="AA78" s="2"/>
      <c r="AB78" s="5"/>
      <c r="AC78" s="5"/>
      <c r="AD78" s="5"/>
      <c r="AE78" s="5"/>
      <c r="AF78" s="5"/>
      <c r="AG78" s="5"/>
      <c r="AH78" s="5"/>
      <c r="AI78" s="5"/>
      <c r="AJ78" s="245"/>
      <c r="AK78" s="2"/>
      <c r="AL78" s="2"/>
      <c r="AM78" s="2"/>
      <c r="AN78" s="2"/>
      <c r="AO78" s="2"/>
      <c r="AP78" s="2"/>
      <c r="AQ78" s="2"/>
      <c r="AR78" s="2"/>
      <c r="AS78" s="2"/>
      <c r="AT78" s="2"/>
      <c r="AU78" s="2"/>
      <c r="AV78" s="2"/>
      <c r="AW78" s="247"/>
      <c r="AX78" s="5"/>
      <c r="AY78" s="5"/>
      <c r="AZ78" s="5"/>
      <c r="BA78" s="300"/>
      <c r="BB78" s="301"/>
      <c r="BC78" s="301"/>
      <c r="BD78" s="301"/>
      <c r="BE78" s="302"/>
      <c r="BF78" s="320"/>
      <c r="BG78" s="321"/>
      <c r="BH78" s="322"/>
      <c r="BI78" s="320"/>
      <c r="BJ78" s="323"/>
      <c r="BK78" s="324"/>
    </row>
    <row r="79" ht="15" customHeight="1" spans="1:6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5"/>
      <c r="AC79" s="5"/>
      <c r="AD79" s="5"/>
      <c r="AE79" s="5"/>
      <c r="AF79" s="5"/>
      <c r="AG79" s="5"/>
      <c r="AH79" s="5"/>
      <c r="AI79" s="5"/>
      <c r="AJ79" s="245"/>
      <c r="AK79" s="2"/>
      <c r="AL79" s="2"/>
      <c r="AM79" s="2"/>
      <c r="AN79" s="2"/>
      <c r="AO79" s="2"/>
      <c r="AP79" s="2"/>
      <c r="AQ79" s="2"/>
      <c r="AR79" s="2"/>
      <c r="AS79" s="2"/>
      <c r="AT79" s="2"/>
      <c r="AU79" s="2"/>
      <c r="AV79" s="2"/>
      <c r="AW79" s="247"/>
      <c r="AX79" s="5"/>
      <c r="AY79" s="5"/>
      <c r="AZ79" s="5"/>
      <c r="BA79" s="272" t="s">
        <v>119</v>
      </c>
      <c r="BB79" s="273"/>
      <c r="BC79" s="273"/>
      <c r="BD79" s="273"/>
      <c r="BE79" s="274"/>
      <c r="BF79" s="325">
        <f>SUM(BA30/BD60)</f>
        <v>-19.1363636363636</v>
      </c>
      <c r="BG79" s="326"/>
      <c r="BH79" s="327">
        <f>SUM(BA57/BD60)</f>
        <v>-24.1818181818182</v>
      </c>
      <c r="BI79" s="328">
        <f>SUM(BF79,BH79)</f>
        <v>-43.3181818181818</v>
      </c>
      <c r="BJ79" s="329"/>
      <c r="BK79" s="330"/>
    </row>
    <row r="80" ht="15" customHeight="1" spans="1:6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5"/>
      <c r="AC80" s="5"/>
      <c r="AD80" s="5"/>
      <c r="AE80" s="5"/>
      <c r="AF80" s="5"/>
      <c r="AG80" s="5"/>
      <c r="AH80" s="5"/>
      <c r="AI80" s="5"/>
      <c r="AJ80" s="245"/>
      <c r="AK80" s="2"/>
      <c r="AL80" s="2"/>
      <c r="AM80" s="2"/>
      <c r="AN80" s="2"/>
      <c r="AO80" s="2"/>
      <c r="AP80" s="2"/>
      <c r="AQ80" s="2"/>
      <c r="AR80" s="2"/>
      <c r="AS80" s="2"/>
      <c r="AT80" s="2"/>
      <c r="AU80" s="2"/>
      <c r="AV80" s="2"/>
      <c r="AW80" s="247"/>
      <c r="AX80" s="5"/>
      <c r="AY80" s="5"/>
      <c r="AZ80" s="5"/>
      <c r="BA80" s="272" t="s">
        <v>120</v>
      </c>
      <c r="BB80" s="273"/>
      <c r="BC80" s="273"/>
      <c r="BD80" s="273"/>
      <c r="BE80" s="274"/>
      <c r="BF80" s="328">
        <f>SUM(BF79*100)/BF71</f>
        <v>-106.313131313131</v>
      </c>
      <c r="BG80" s="331"/>
      <c r="BH80" s="327">
        <f>SUM(BH79*100)/BH71</f>
        <v>-96.7272727272727</v>
      </c>
      <c r="BI80" s="328">
        <f>SUM(BF80,BH80)/2</f>
        <v>-101.520202020202</v>
      </c>
      <c r="BJ80" s="329"/>
      <c r="BK80" s="330"/>
    </row>
    <row r="81" ht="14" customHeight="1" spans="1:6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5"/>
      <c r="AC81" s="5"/>
      <c r="AD81" s="5"/>
      <c r="AE81" s="5"/>
      <c r="AF81" s="5"/>
      <c r="AG81" s="5"/>
      <c r="AH81" s="5"/>
      <c r="AI81" s="5"/>
      <c r="AJ81" s="245"/>
      <c r="AK81" s="246"/>
      <c r="AL81" s="246"/>
      <c r="AM81" s="246"/>
      <c r="AN81" s="246"/>
      <c r="AO81" s="246"/>
      <c r="AP81" s="246"/>
      <c r="AQ81" s="246"/>
      <c r="AR81" s="246"/>
      <c r="AS81" s="246"/>
      <c r="AT81" s="246"/>
      <c r="AU81" s="246"/>
      <c r="AV81" s="246"/>
      <c r="AW81" s="247"/>
      <c r="AX81" s="5"/>
      <c r="AY81" s="5"/>
      <c r="AZ81" s="5"/>
      <c r="BA81" s="269" t="s">
        <v>121</v>
      </c>
      <c r="BB81" s="270"/>
      <c r="BC81" s="270"/>
      <c r="BD81" s="270"/>
      <c r="BE81" s="271"/>
      <c r="BF81" s="332">
        <v>3</v>
      </c>
      <c r="BG81" s="333"/>
      <c r="BH81" s="284">
        <v>1</v>
      </c>
      <c r="BI81" s="332">
        <v>4</v>
      </c>
      <c r="BJ81" s="334"/>
      <c r="BK81" s="335"/>
    </row>
    <row r="82" ht="7" customHeight="1" spans="1:63">
      <c r="A82" s="5"/>
      <c r="B82" s="336" t="s">
        <v>122</v>
      </c>
      <c r="C82" s="337"/>
      <c r="D82" s="337"/>
      <c r="E82" s="337"/>
      <c r="F82" s="337"/>
      <c r="G82" s="337"/>
      <c r="H82" s="337"/>
      <c r="I82" s="337"/>
      <c r="J82" s="337"/>
      <c r="K82" s="337"/>
      <c r="L82" s="337"/>
      <c r="M82" s="337"/>
      <c r="N82" s="337"/>
      <c r="O82" s="337"/>
      <c r="P82" s="337"/>
      <c r="Q82" s="337"/>
      <c r="R82" s="337"/>
      <c r="S82" s="337"/>
      <c r="T82" s="337"/>
      <c r="U82" s="337"/>
      <c r="V82" s="337"/>
      <c r="W82" s="337"/>
      <c r="X82" s="337"/>
      <c r="Y82" s="337"/>
      <c r="Z82" s="337"/>
      <c r="AA82" s="338"/>
      <c r="AB82" s="5"/>
      <c r="AC82" s="5"/>
      <c r="AD82" s="5"/>
      <c r="AE82" s="5"/>
      <c r="AF82" s="5"/>
      <c r="AG82" s="5"/>
      <c r="AH82" s="5"/>
      <c r="AI82" s="5"/>
      <c r="AJ82" s="203" t="s">
        <v>123</v>
      </c>
      <c r="AK82" s="204"/>
      <c r="AL82" s="204"/>
      <c r="AM82" s="204"/>
      <c r="AN82" s="204"/>
      <c r="AO82" s="204"/>
      <c r="AP82" s="204"/>
      <c r="AQ82" s="204"/>
      <c r="AR82" s="204"/>
      <c r="AS82" s="204"/>
      <c r="AT82" s="204"/>
      <c r="AU82" s="204"/>
      <c r="AV82" s="204"/>
      <c r="AW82" s="205"/>
      <c r="AX82" s="5"/>
      <c r="AY82" s="5"/>
      <c r="AZ82" s="5"/>
      <c r="BA82" s="272"/>
      <c r="BB82" s="273"/>
      <c r="BC82" s="273"/>
      <c r="BD82" s="273"/>
      <c r="BE82" s="274"/>
      <c r="BF82" s="339"/>
      <c r="BG82" s="340"/>
      <c r="BH82" s="305"/>
      <c r="BI82" s="339"/>
      <c r="BJ82" s="341"/>
      <c r="BK82" s="342"/>
    </row>
    <row r="83" ht="3" customHeight="1" spans="1:63">
      <c r="A83" s="5"/>
      <c r="B83" s="343"/>
      <c r="C83" s="2"/>
      <c r="D83" s="2"/>
      <c r="E83" s="2"/>
      <c r="F83" s="2"/>
      <c r="G83" s="2"/>
      <c r="H83" s="2"/>
      <c r="I83" s="2"/>
      <c r="J83" s="2"/>
      <c r="K83" s="2"/>
      <c r="L83" s="2"/>
      <c r="M83" s="2"/>
      <c r="N83" s="2"/>
      <c r="O83" s="2"/>
      <c r="P83" s="2"/>
      <c r="Q83" s="2"/>
      <c r="R83" s="2"/>
      <c r="S83" s="2"/>
      <c r="T83" s="2"/>
      <c r="U83" s="2"/>
      <c r="V83" s="2"/>
      <c r="W83" s="2"/>
      <c r="X83" s="2"/>
      <c r="Y83" s="2"/>
      <c r="Z83" s="2"/>
      <c r="AA83" s="344"/>
      <c r="AB83" s="5"/>
      <c r="AC83" s="5"/>
      <c r="AD83" s="5"/>
      <c r="AE83" s="5"/>
      <c r="AF83" s="5"/>
      <c r="AG83" s="5"/>
      <c r="AH83" s="5"/>
      <c r="AI83" s="5"/>
      <c r="AJ83" s="203"/>
      <c r="AK83" s="204"/>
      <c r="AL83" s="204"/>
      <c r="AM83" s="204"/>
      <c r="AN83" s="204"/>
      <c r="AO83" s="204"/>
      <c r="AP83" s="204"/>
      <c r="AQ83" s="204"/>
      <c r="AR83" s="204"/>
      <c r="AS83" s="204"/>
      <c r="AT83" s="204"/>
      <c r="AU83" s="204"/>
      <c r="AV83" s="204"/>
      <c r="AW83" s="205"/>
      <c r="AX83" s="5"/>
      <c r="AY83" s="5"/>
      <c r="AZ83" s="5"/>
      <c r="BA83" s="39" t="s">
        <v>124</v>
      </c>
      <c r="BB83" s="345"/>
      <c r="BC83" s="345"/>
      <c r="BD83" s="345"/>
      <c r="BE83" s="346"/>
      <c r="BF83" s="332">
        <v>0</v>
      </c>
      <c r="BG83" s="333"/>
      <c r="BH83" s="284">
        <v>1</v>
      </c>
      <c r="BI83" s="332">
        <v>1</v>
      </c>
      <c r="BJ83" s="334"/>
      <c r="BK83" s="335"/>
    </row>
    <row r="84" ht="10" customHeight="1" spans="1:63">
      <c r="A84" s="5"/>
      <c r="B84" s="347"/>
      <c r="C84" s="348"/>
      <c r="D84" s="348"/>
      <c r="E84" s="348"/>
      <c r="F84" s="348"/>
      <c r="G84" s="348"/>
      <c r="H84" s="348"/>
      <c r="I84" s="348"/>
      <c r="J84" s="348"/>
      <c r="K84" s="348"/>
      <c r="L84" s="348"/>
      <c r="M84" s="348"/>
      <c r="N84" s="348"/>
      <c r="O84" s="348"/>
      <c r="P84" s="348"/>
      <c r="Q84" s="348"/>
      <c r="R84" s="348"/>
      <c r="S84" s="348"/>
      <c r="T84" s="348"/>
      <c r="U84" s="348"/>
      <c r="V84" s="348"/>
      <c r="W84" s="348"/>
      <c r="X84" s="348"/>
      <c r="Y84" s="348"/>
      <c r="Z84" s="348"/>
      <c r="AA84" s="349"/>
      <c r="AB84" s="5"/>
      <c r="AC84" s="5"/>
      <c r="AD84" s="5"/>
      <c r="AE84" s="5"/>
      <c r="AF84" s="5"/>
      <c r="AG84" s="5"/>
      <c r="AH84" s="5"/>
      <c r="AI84" s="5"/>
      <c r="AJ84" s="245" t="s">
        <v>125</v>
      </c>
      <c r="AK84" s="246"/>
      <c r="AL84" s="246"/>
      <c r="AM84" s="246"/>
      <c r="AN84" s="246"/>
      <c r="AO84" s="246"/>
      <c r="AP84" s="246"/>
      <c r="AQ84" s="246"/>
      <c r="AR84" s="246"/>
      <c r="AS84" s="246"/>
      <c r="AT84" s="246"/>
      <c r="AU84" s="246"/>
      <c r="AV84" s="246"/>
      <c r="AW84" s="247"/>
      <c r="AX84" s="5"/>
      <c r="AY84" s="5"/>
      <c r="AZ84" s="5"/>
      <c r="BA84" s="350"/>
      <c r="BB84" s="218"/>
      <c r="BC84" s="218"/>
      <c r="BD84" s="218"/>
      <c r="BE84" s="351"/>
      <c r="BF84" s="339"/>
      <c r="BG84" s="340"/>
      <c r="BH84" s="305"/>
      <c r="BI84" s="339"/>
      <c r="BJ84" s="341"/>
      <c r="BK84" s="342"/>
    </row>
    <row r="85" ht="13" customHeight="1" spans="1:6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245"/>
      <c r="AK85" s="2"/>
      <c r="AL85" s="2"/>
      <c r="AM85" s="2"/>
      <c r="AN85" s="2"/>
      <c r="AO85" s="2"/>
      <c r="AP85" s="2"/>
      <c r="AQ85" s="2"/>
      <c r="AR85" s="2"/>
      <c r="AS85" s="2"/>
      <c r="AT85" s="2"/>
      <c r="AU85" s="2"/>
      <c r="AV85" s="2"/>
      <c r="AW85" s="247"/>
      <c r="AX85" s="5"/>
      <c r="AY85" s="5"/>
      <c r="AZ85" s="5"/>
      <c r="BA85" s="350" t="s">
        <v>126</v>
      </c>
      <c r="BB85" s="218"/>
      <c r="BC85" s="218"/>
      <c r="BD85" s="218"/>
      <c r="BE85" s="351"/>
      <c r="BF85" s="352">
        <v>0</v>
      </c>
      <c r="BG85" s="353"/>
      <c r="BH85" s="354">
        <v>0</v>
      </c>
      <c r="BI85" s="352">
        <v>0</v>
      </c>
      <c r="BJ85" s="355"/>
      <c r="BK85" s="356"/>
    </row>
    <row r="86" ht="7" customHeight="1" spans="1:6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245"/>
      <c r="AK86" s="246"/>
      <c r="AL86" s="246"/>
      <c r="AM86" s="246"/>
      <c r="AN86" s="246"/>
      <c r="AO86" s="246"/>
      <c r="AP86" s="246"/>
      <c r="AQ86" s="246"/>
      <c r="AR86" s="246"/>
      <c r="AS86" s="246"/>
      <c r="AT86" s="246"/>
      <c r="AU86" s="246"/>
      <c r="AV86" s="246"/>
      <c r="AW86" s="247"/>
      <c r="AX86" s="5"/>
      <c r="AY86" s="5"/>
      <c r="AZ86" s="5"/>
      <c r="BA86" s="39" t="s">
        <v>127</v>
      </c>
      <c r="BB86" s="345"/>
      <c r="BC86" s="345"/>
      <c r="BD86" s="345"/>
      <c r="BE86" s="346"/>
      <c r="BF86" s="332">
        <v>0</v>
      </c>
      <c r="BG86" s="333"/>
      <c r="BH86" s="284">
        <v>0</v>
      </c>
      <c r="BI86" s="332">
        <v>0</v>
      </c>
      <c r="BJ86" s="334"/>
      <c r="BK86" s="335"/>
    </row>
    <row r="87" ht="6" customHeight="1" spans="1:6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203" t="s">
        <v>128</v>
      </c>
      <c r="AK87" s="204"/>
      <c r="AL87" s="204"/>
      <c r="AM87" s="204"/>
      <c r="AN87" s="204"/>
      <c r="AO87" s="204"/>
      <c r="AP87" s="204"/>
      <c r="AQ87" s="204"/>
      <c r="AR87" s="204"/>
      <c r="AS87" s="204"/>
      <c r="AT87" s="204"/>
      <c r="AU87" s="204"/>
      <c r="AV87" s="204"/>
      <c r="AW87" s="205"/>
      <c r="AX87" s="5"/>
      <c r="AY87" s="5"/>
      <c r="AZ87" s="5"/>
      <c r="BA87" s="56"/>
      <c r="BB87" s="57"/>
      <c r="BC87" s="57"/>
      <c r="BD87" s="57"/>
      <c r="BE87" s="357"/>
      <c r="BF87" s="358"/>
      <c r="BG87" s="359"/>
      <c r="BH87" s="360"/>
      <c r="BI87" s="358"/>
      <c r="BJ87" s="361"/>
      <c r="BK87" s="362"/>
    </row>
    <row r="88" ht="4" customHeight="1" spans="1:6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203"/>
      <c r="AK88" s="204"/>
      <c r="AL88" s="204"/>
      <c r="AM88" s="204"/>
      <c r="AN88" s="204"/>
      <c r="AO88" s="204"/>
      <c r="AP88" s="204"/>
      <c r="AQ88" s="204"/>
      <c r="AR88" s="204"/>
      <c r="AS88" s="204"/>
      <c r="AT88" s="204"/>
      <c r="AU88" s="204"/>
      <c r="AV88" s="204"/>
      <c r="AW88" s="205"/>
      <c r="AX88" s="5"/>
      <c r="AY88" s="5"/>
      <c r="AZ88" s="5"/>
      <c r="BA88" s="5"/>
      <c r="BB88" s="5"/>
      <c r="BC88" s="5"/>
      <c r="BD88" s="5"/>
      <c r="BE88" s="5"/>
      <c r="BF88" s="5"/>
      <c r="BG88" s="5"/>
      <c r="BH88" s="5"/>
      <c r="BI88" s="5"/>
      <c r="BJ88" s="5"/>
      <c r="BK88" s="5"/>
    </row>
    <row r="89" ht="7" customHeight="1" spans="1:6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245" t="s">
        <v>129</v>
      </c>
      <c r="AK89" s="246"/>
      <c r="AL89" s="246"/>
      <c r="AM89" s="246"/>
      <c r="AN89" s="246"/>
      <c r="AO89" s="246"/>
      <c r="AP89" s="246"/>
      <c r="AQ89" s="246"/>
      <c r="AR89" s="246"/>
      <c r="AS89" s="246"/>
      <c r="AT89" s="246"/>
      <c r="AU89" s="246"/>
      <c r="AV89" s="246"/>
      <c r="AW89" s="247"/>
      <c r="AX89" s="5"/>
      <c r="AY89" s="5"/>
      <c r="AZ89" s="5"/>
      <c r="BA89" s="5"/>
      <c r="BB89" s="5"/>
      <c r="BC89" s="5"/>
      <c r="BD89" s="5"/>
      <c r="BE89" s="5"/>
      <c r="BF89" s="5"/>
      <c r="BG89" s="5"/>
      <c r="BH89" s="5"/>
      <c r="BI89" s="5"/>
      <c r="BJ89" s="5"/>
      <c r="BK89" s="5"/>
    </row>
    <row r="90" ht="20" customHeight="1" spans="1:6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245"/>
      <c r="AK90" s="2"/>
      <c r="AL90" s="2"/>
      <c r="AM90" s="2"/>
      <c r="AN90" s="2"/>
      <c r="AO90" s="2"/>
      <c r="AP90" s="2"/>
      <c r="AQ90" s="2"/>
      <c r="AR90" s="2"/>
      <c r="AS90" s="2"/>
      <c r="AT90" s="2"/>
      <c r="AU90" s="2"/>
      <c r="AV90" s="2"/>
      <c r="AW90" s="247"/>
      <c r="AX90" s="5"/>
      <c r="AY90" s="5"/>
      <c r="AZ90" s="363" t="s">
        <v>130</v>
      </c>
      <c r="BA90" s="2"/>
      <c r="BB90" s="2"/>
      <c r="BC90" s="2"/>
      <c r="BD90" s="2"/>
      <c r="BE90" s="2"/>
      <c r="BF90" s="2"/>
      <c r="BG90" s="2"/>
      <c r="BH90" s="2"/>
      <c r="BI90" s="2"/>
      <c r="BJ90" s="2"/>
      <c r="BK90" s="5"/>
    </row>
    <row r="91" ht="3" customHeight="1" spans="1:6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245"/>
      <c r="AK91" s="246"/>
      <c r="AL91" s="246"/>
      <c r="AM91" s="246"/>
      <c r="AN91" s="246"/>
      <c r="AO91" s="246"/>
      <c r="AP91" s="246"/>
      <c r="AQ91" s="246"/>
      <c r="AR91" s="246"/>
      <c r="AS91" s="246"/>
      <c r="AT91" s="246"/>
      <c r="AU91" s="246"/>
      <c r="AV91" s="246"/>
      <c r="AW91" s="247"/>
      <c r="AX91" s="5"/>
      <c r="AY91" s="5"/>
      <c r="AZ91" s="5"/>
      <c r="BA91" s="5"/>
      <c r="BB91" s="364" t="s">
        <v>131</v>
      </c>
      <c r="BC91" s="364"/>
      <c r="BD91" s="364"/>
      <c r="BE91" s="364"/>
      <c r="BF91" s="364"/>
      <c r="BG91" s="364"/>
      <c r="BH91" s="364"/>
      <c r="BI91" s="364"/>
      <c r="BJ91" s="364"/>
      <c r="BK91" s="5"/>
    </row>
    <row r="92" ht="10" customHeight="1" spans="1:6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203" t="s">
        <v>132</v>
      </c>
      <c r="AK92" s="204"/>
      <c r="AL92" s="204"/>
      <c r="AM92" s="204"/>
      <c r="AN92" s="204"/>
      <c r="AO92" s="204"/>
      <c r="AP92" s="204"/>
      <c r="AQ92" s="204"/>
      <c r="AR92" s="204"/>
      <c r="AS92" s="204"/>
      <c r="AT92" s="204"/>
      <c r="AU92" s="204"/>
      <c r="AV92" s="204"/>
      <c r="AW92" s="205"/>
      <c r="AX92" s="5"/>
      <c r="AY92" s="5"/>
      <c r="AZ92" s="5"/>
      <c r="BA92" s="5"/>
      <c r="BB92" s="364"/>
      <c r="BC92" s="2"/>
      <c r="BD92" s="2"/>
      <c r="BE92" s="2"/>
      <c r="BF92" s="2"/>
      <c r="BG92" s="2"/>
      <c r="BH92" s="2"/>
      <c r="BI92" s="2"/>
      <c r="BJ92" s="364"/>
      <c r="BK92" s="5"/>
    </row>
    <row r="93" ht="10" customHeight="1" spans="1:6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365"/>
      <c r="AG93" s="5"/>
      <c r="AH93" s="5"/>
      <c r="AI93" s="5"/>
      <c r="AJ93" s="245" t="s">
        <v>133</v>
      </c>
      <c r="AK93" s="246"/>
      <c r="AL93" s="246"/>
      <c r="AM93" s="246"/>
      <c r="AN93" s="246"/>
      <c r="AO93" s="246"/>
      <c r="AP93" s="246"/>
      <c r="AQ93" s="246"/>
      <c r="AR93" s="246"/>
      <c r="AS93" s="246"/>
      <c r="AT93" s="246"/>
      <c r="AU93" s="246"/>
      <c r="AV93" s="246"/>
      <c r="AW93" s="247"/>
      <c r="AX93" s="5"/>
      <c r="AY93" s="5"/>
      <c r="AZ93" s="5"/>
      <c r="BA93" s="5"/>
      <c r="BB93" s="364"/>
      <c r="BC93" s="2"/>
      <c r="BD93" s="2"/>
      <c r="BE93" s="2"/>
      <c r="BF93" s="2"/>
      <c r="BG93" s="2"/>
      <c r="BH93" s="2"/>
      <c r="BI93" s="2"/>
      <c r="BJ93" s="364"/>
      <c r="BK93" s="5"/>
    </row>
    <row r="94" ht="7" customHeight="1" spans="1:6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366" t="s">
        <v>134</v>
      </c>
      <c r="AK94" s="367"/>
      <c r="AL94" s="367"/>
      <c r="AM94" s="367"/>
      <c r="AN94" s="367"/>
      <c r="AO94" s="367"/>
      <c r="AP94" s="367"/>
      <c r="AQ94" s="367"/>
      <c r="AR94" s="367"/>
      <c r="AS94" s="367"/>
      <c r="AT94" s="367"/>
      <c r="AU94" s="367"/>
      <c r="AV94" s="367"/>
      <c r="AW94" s="368"/>
      <c r="AX94" s="5"/>
      <c r="AY94" s="5"/>
      <c r="AZ94" s="5"/>
      <c r="BA94" s="5"/>
      <c r="BB94" s="369"/>
      <c r="BC94" s="369"/>
      <c r="BD94" s="369"/>
      <c r="BE94" s="369"/>
      <c r="BF94" s="369"/>
      <c r="BG94" s="369"/>
      <c r="BH94" s="369"/>
      <c r="BI94" s="369"/>
      <c r="BJ94" s="369"/>
      <c r="BK94" s="5"/>
    </row>
    <row r="95" ht="14" customHeight="1" spans="1:6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370"/>
      <c r="AK95" s="371"/>
      <c r="AL95" s="371"/>
      <c r="AM95" s="371"/>
      <c r="AN95" s="371"/>
      <c r="AO95" s="371"/>
      <c r="AP95" s="371"/>
      <c r="AQ95" s="371"/>
      <c r="AR95" s="371"/>
      <c r="AS95" s="371"/>
      <c r="AT95" s="371"/>
      <c r="AU95" s="371"/>
      <c r="AV95" s="371"/>
      <c r="AW95" s="372"/>
      <c r="AX95" s="5"/>
      <c r="AY95" s="5"/>
      <c r="AZ95" s="5"/>
      <c r="BA95" s="5"/>
      <c r="BB95" s="373" t="s">
        <v>135</v>
      </c>
      <c r="BC95" s="2"/>
      <c r="BD95" s="2"/>
      <c r="BE95" s="2"/>
      <c r="BF95" s="2"/>
      <c r="BG95" s="2"/>
      <c r="BH95" s="2"/>
      <c r="BI95" s="2"/>
      <c r="BJ95" s="2"/>
      <c r="BK95" s="5"/>
    </row>
    <row r="96" ht="6" customHeight="1" spans="1:6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2"/>
      <c r="BC96" s="2"/>
      <c r="BD96" s="2"/>
      <c r="BE96" s="2"/>
      <c r="BF96" s="2"/>
      <c r="BG96" s="2"/>
      <c r="BH96" s="2"/>
      <c r="BI96" s="2"/>
      <c r="BJ96" s="2"/>
      <c r="BK96" s="5"/>
    </row>
    <row r="97" ht="20" customHeight="1" spans="1:6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363" t="s">
        <v>136</v>
      </c>
      <c r="BA97" s="2"/>
      <c r="BB97" s="2"/>
      <c r="BC97" s="2"/>
      <c r="BD97" s="2"/>
      <c r="BE97" s="2"/>
      <c r="BF97" s="2"/>
      <c r="BG97" s="2"/>
      <c r="BH97" s="2"/>
      <c r="BI97" s="2"/>
      <c r="BJ97" s="2"/>
      <c r="BK97" s="5"/>
    </row>
    <row r="98" ht="8" customHeight="1" spans="1:6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374" t="s">
        <v>137</v>
      </c>
      <c r="BC98" s="374"/>
      <c r="BD98" s="374"/>
      <c r="BE98" s="374"/>
      <c r="BF98" s="374"/>
      <c r="BG98" s="374"/>
      <c r="BH98" s="374"/>
      <c r="BI98" s="374"/>
      <c r="BJ98" s="5"/>
      <c r="BK98" s="5"/>
    </row>
    <row r="99" ht="10" customHeight="1" spans="1:6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375" t="s">
        <v>138</v>
      </c>
      <c r="AJ99" s="375"/>
      <c r="AK99" s="375"/>
      <c r="AL99" s="375"/>
      <c r="AM99" s="375"/>
      <c r="AN99" s="375"/>
      <c r="AO99" s="375"/>
      <c r="AP99" s="375"/>
      <c r="AQ99" s="375"/>
      <c r="AR99" s="375"/>
      <c r="AS99" s="375"/>
      <c r="AT99" s="375"/>
      <c r="AU99" s="375"/>
      <c r="AV99" s="375"/>
      <c r="AW99" s="5"/>
      <c r="AX99" s="5"/>
      <c r="AY99" s="5"/>
      <c r="AZ99" s="5"/>
      <c r="BA99" s="5"/>
      <c r="BB99" s="374"/>
      <c r="BC99" s="2"/>
      <c r="BD99" s="2"/>
      <c r="BE99" s="2"/>
      <c r="BF99" s="2"/>
      <c r="BG99" s="2"/>
      <c r="BH99" s="2"/>
      <c r="BI99" s="374"/>
      <c r="BJ99" s="5"/>
      <c r="BK99" s="5"/>
    </row>
    <row r="100" ht="5" customHeight="1" spans="1:6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376"/>
      <c r="BC100" s="376"/>
      <c r="BD100" s="376"/>
      <c r="BE100" s="376"/>
      <c r="BF100" s="376"/>
      <c r="BG100" s="376"/>
      <c r="BH100" s="376"/>
      <c r="BI100" s="376"/>
      <c r="BJ100" s="5"/>
      <c r="BK100" s="5"/>
    </row>
    <row r="101" ht="10" customHeight="1" spans="1:6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373" t="s">
        <v>139</v>
      </c>
      <c r="BC101" s="2"/>
      <c r="BD101" s="2"/>
      <c r="BE101" s="2"/>
      <c r="BF101" s="2"/>
      <c r="BG101" s="2"/>
      <c r="BH101" s="2"/>
      <c r="BI101" s="2"/>
      <c r="BJ101" s="2"/>
      <c r="BK101" s="5"/>
    </row>
    <row r="102" spans="1:6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row>
    <row r="103" spans="1:6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row>
    <row r="104" spans="1:6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row>
  </sheetData>
  <mergeCells count="862">
    <mergeCell ref="A3:BK3"/>
    <mergeCell ref="A4:F4"/>
    <mergeCell ref="H4:K4"/>
    <mergeCell ref="L4:N4"/>
    <mergeCell ref="O4:T4"/>
    <mergeCell ref="X4:AE4"/>
    <mergeCell ref="AF4:AN4"/>
    <mergeCell ref="AT4:BF4"/>
    <mergeCell ref="BG4:BK4"/>
    <mergeCell ref="A5:F5"/>
    <mergeCell ref="H5:T5"/>
    <mergeCell ref="X5:AE5"/>
    <mergeCell ref="AF5:AN5"/>
    <mergeCell ref="AS5:AZ5"/>
    <mergeCell ref="BA5:BK5"/>
    <mergeCell ref="H6:AZ6"/>
    <mergeCell ref="H7:I7"/>
    <mergeCell ref="N7:O7"/>
    <mergeCell ref="T7:U7"/>
    <mergeCell ref="W7:X7"/>
    <mergeCell ref="Y7:Z7"/>
    <mergeCell ref="AA7:AB7"/>
    <mergeCell ref="AE7:AF7"/>
    <mergeCell ref="AH7:AJ7"/>
    <mergeCell ref="AN7:AO7"/>
    <mergeCell ref="AS7:AU7"/>
    <mergeCell ref="AV7:AX7"/>
    <mergeCell ref="AY7:AZ7"/>
    <mergeCell ref="H8:I8"/>
    <mergeCell ref="N8:O8"/>
    <mergeCell ref="T8:U8"/>
    <mergeCell ref="W8:X8"/>
    <mergeCell ref="Y8:Z8"/>
    <mergeCell ref="AA8:AB8"/>
    <mergeCell ref="AE8:AF8"/>
    <mergeCell ref="AH8:AJ8"/>
    <mergeCell ref="AN8:AO8"/>
    <mergeCell ref="AS8:AU8"/>
    <mergeCell ref="AV8:AX8"/>
    <mergeCell ref="AY8:AZ8"/>
    <mergeCell ref="BA8:BB8"/>
    <mergeCell ref="BC8:BD8"/>
    <mergeCell ref="A9:B9"/>
    <mergeCell ref="C9:F9"/>
    <mergeCell ref="H9:I9"/>
    <mergeCell ref="N9:O9"/>
    <mergeCell ref="T9:U9"/>
    <mergeCell ref="W9:X9"/>
    <mergeCell ref="Y9:Z9"/>
    <mergeCell ref="AA9:AB9"/>
    <mergeCell ref="AE9:AF9"/>
    <mergeCell ref="AH9:AJ9"/>
    <mergeCell ref="AN9:AO9"/>
    <mergeCell ref="AS9:AU9"/>
    <mergeCell ref="AV9:AX9"/>
    <mergeCell ref="AY9:AZ9"/>
    <mergeCell ref="BA9:BB9"/>
    <mergeCell ref="BC9:BD9"/>
    <mergeCell ref="BE9:BK9"/>
    <mergeCell ref="A10:B10"/>
    <mergeCell ref="C10:F10"/>
    <mergeCell ref="H10:I10"/>
    <mergeCell ref="N10:O10"/>
    <mergeCell ref="T10:U10"/>
    <mergeCell ref="W10:X10"/>
    <mergeCell ref="Y10:Z10"/>
    <mergeCell ref="AA10:AB10"/>
    <mergeCell ref="AE10:AF10"/>
    <mergeCell ref="AH10:AJ10"/>
    <mergeCell ref="AN10:AO10"/>
    <mergeCell ref="AS10:AU10"/>
    <mergeCell ref="AV10:AX10"/>
    <mergeCell ref="AY10:AZ10"/>
    <mergeCell ref="BA10:BB10"/>
    <mergeCell ref="BC10:BD10"/>
    <mergeCell ref="BE10:BK10"/>
    <mergeCell ref="A11:B11"/>
    <mergeCell ref="C11:F11"/>
    <mergeCell ref="H11:I11"/>
    <mergeCell ref="N11:O11"/>
    <mergeCell ref="T11:U11"/>
    <mergeCell ref="W11:X11"/>
    <mergeCell ref="Y11:Z11"/>
    <mergeCell ref="AA11:AB11"/>
    <mergeCell ref="AE11:AF11"/>
    <mergeCell ref="AH11:AJ11"/>
    <mergeCell ref="AN11:AO11"/>
    <mergeCell ref="AS11:AU11"/>
    <mergeCell ref="AV11:AX11"/>
    <mergeCell ref="AY11:AZ11"/>
    <mergeCell ref="BA11:BB11"/>
    <mergeCell ref="BC11:BD11"/>
    <mergeCell ref="BE11:BK11"/>
    <mergeCell ref="A12:B12"/>
    <mergeCell ref="C12:F12"/>
    <mergeCell ref="H12:I12"/>
    <mergeCell ref="N12:O12"/>
    <mergeCell ref="T12:U12"/>
    <mergeCell ref="W12:X12"/>
    <mergeCell ref="Y12:Z12"/>
    <mergeCell ref="AA12:AB12"/>
    <mergeCell ref="AE12:AF12"/>
    <mergeCell ref="AH12:AJ12"/>
    <mergeCell ref="AN12:AO12"/>
    <mergeCell ref="AS12:AU12"/>
    <mergeCell ref="AV12:AX12"/>
    <mergeCell ref="AY12:AZ12"/>
    <mergeCell ref="BA12:BB12"/>
    <mergeCell ref="BC12:BD12"/>
    <mergeCell ref="BE12:BK12"/>
    <mergeCell ref="A13:B13"/>
    <mergeCell ref="C13:F13"/>
    <mergeCell ref="H13:I13"/>
    <mergeCell ref="N13:O13"/>
    <mergeCell ref="T13:U13"/>
    <mergeCell ref="W13:X13"/>
    <mergeCell ref="Y13:Z13"/>
    <mergeCell ref="AA13:AB13"/>
    <mergeCell ref="AE13:AF13"/>
    <mergeCell ref="AH13:AJ13"/>
    <mergeCell ref="AN13:AO13"/>
    <mergeCell ref="AS13:AU13"/>
    <mergeCell ref="AV13:AX13"/>
    <mergeCell ref="AY13:AZ13"/>
    <mergeCell ref="BA13:BB13"/>
    <mergeCell ref="BC13:BD13"/>
    <mergeCell ref="BE13:BK13"/>
    <mergeCell ref="A14:B14"/>
    <mergeCell ref="C14:F14"/>
    <mergeCell ref="H14:I14"/>
    <mergeCell ref="N14:O14"/>
    <mergeCell ref="T14:U14"/>
    <mergeCell ref="W14:X14"/>
    <mergeCell ref="Y14:Z14"/>
    <mergeCell ref="AA14:AB14"/>
    <mergeCell ref="AE14:AF14"/>
    <mergeCell ref="AH14:AJ14"/>
    <mergeCell ref="AN14:AO14"/>
    <mergeCell ref="AS14:AU14"/>
    <mergeCell ref="AV14:AX14"/>
    <mergeCell ref="AY14:AZ14"/>
    <mergeCell ref="BA14:BB14"/>
    <mergeCell ref="BC14:BD14"/>
    <mergeCell ref="BE14:BK14"/>
    <mergeCell ref="A15:B15"/>
    <mergeCell ref="C15:F15"/>
    <mergeCell ref="H15:I15"/>
    <mergeCell ref="N15:O15"/>
    <mergeCell ref="T15:U15"/>
    <mergeCell ref="W15:X15"/>
    <mergeCell ref="Y15:Z15"/>
    <mergeCell ref="AA15:AB15"/>
    <mergeCell ref="AE15:AF15"/>
    <mergeCell ref="AH15:AJ15"/>
    <mergeCell ref="AN15:AO15"/>
    <mergeCell ref="AS15:AU15"/>
    <mergeCell ref="AV15:AX15"/>
    <mergeCell ref="AY15:AZ15"/>
    <mergeCell ref="BA15:BB15"/>
    <mergeCell ref="BC15:BD15"/>
    <mergeCell ref="BE15:BK15"/>
    <mergeCell ref="A16:B16"/>
    <mergeCell ref="H16:I16"/>
    <mergeCell ref="N16:O16"/>
    <mergeCell ref="T16:U16"/>
    <mergeCell ref="W16:X16"/>
    <mergeCell ref="Y16:Z16"/>
    <mergeCell ref="AA16:AB16"/>
    <mergeCell ref="AE16:AF16"/>
    <mergeCell ref="AH16:AJ16"/>
    <mergeCell ref="AN16:AO16"/>
    <mergeCell ref="AS16:AU16"/>
    <mergeCell ref="AV16:AX16"/>
    <mergeCell ref="AY16:AZ16"/>
    <mergeCell ref="BA16:BB16"/>
    <mergeCell ref="BC16:BD16"/>
    <mergeCell ref="BE16:BK16"/>
    <mergeCell ref="A17:B17"/>
    <mergeCell ref="H17:I17"/>
    <mergeCell ref="N17:O17"/>
    <mergeCell ref="T17:U17"/>
    <mergeCell ref="W17:X17"/>
    <mergeCell ref="Y17:Z17"/>
    <mergeCell ref="AA17:AB17"/>
    <mergeCell ref="AE17:AF17"/>
    <mergeCell ref="AH17:AJ17"/>
    <mergeCell ref="AN17:AO17"/>
    <mergeCell ref="AS17:AU17"/>
    <mergeCell ref="AV17:AX17"/>
    <mergeCell ref="AY17:AZ17"/>
    <mergeCell ref="BA17:BB17"/>
    <mergeCell ref="BC17:BD17"/>
    <mergeCell ref="BE17:BK17"/>
    <mergeCell ref="A18:B18"/>
    <mergeCell ref="H18:I18"/>
    <mergeCell ref="N18:O18"/>
    <mergeCell ref="T18:U18"/>
    <mergeCell ref="W18:X18"/>
    <mergeCell ref="Y18:Z18"/>
    <mergeCell ref="AA18:AB18"/>
    <mergeCell ref="AE18:AF18"/>
    <mergeCell ref="AH18:AJ18"/>
    <mergeCell ref="AN18:AO18"/>
    <mergeCell ref="AS18:AU18"/>
    <mergeCell ref="AV18:AX18"/>
    <mergeCell ref="AY18:AZ18"/>
    <mergeCell ref="BA18:BB18"/>
    <mergeCell ref="BC18:BD18"/>
    <mergeCell ref="BE18:BK18"/>
    <mergeCell ref="A19:B19"/>
    <mergeCell ref="H19:I19"/>
    <mergeCell ref="N19:O19"/>
    <mergeCell ref="T19:U19"/>
    <mergeCell ref="W19:X19"/>
    <mergeCell ref="Y19:Z19"/>
    <mergeCell ref="AA19:AB19"/>
    <mergeCell ref="AE19:AF19"/>
    <mergeCell ref="AH19:AJ19"/>
    <mergeCell ref="AN19:AO19"/>
    <mergeCell ref="AS19:AU19"/>
    <mergeCell ref="AV19:AX19"/>
    <mergeCell ref="AY19:AZ19"/>
    <mergeCell ref="BA19:BB19"/>
    <mergeCell ref="BC19:BD19"/>
    <mergeCell ref="BE19:BK19"/>
    <mergeCell ref="A20:B20"/>
    <mergeCell ref="H20:I20"/>
    <mergeCell ref="N20:O20"/>
    <mergeCell ref="T20:U20"/>
    <mergeCell ref="W20:X20"/>
    <mergeCell ref="Y20:Z20"/>
    <mergeCell ref="AA20:AB20"/>
    <mergeCell ref="AE20:AF20"/>
    <mergeCell ref="AH20:AJ20"/>
    <mergeCell ref="AN20:AO20"/>
    <mergeCell ref="AS20:AU20"/>
    <mergeCell ref="AV20:AX20"/>
    <mergeCell ref="AY20:AZ20"/>
    <mergeCell ref="BA20:BB20"/>
    <mergeCell ref="BC20:BD20"/>
    <mergeCell ref="BE20:BK20"/>
    <mergeCell ref="A21:B21"/>
    <mergeCell ref="H21:I21"/>
    <mergeCell ref="N21:O21"/>
    <mergeCell ref="T21:U21"/>
    <mergeCell ref="W21:X21"/>
    <mergeCell ref="Y21:Z21"/>
    <mergeCell ref="AA21:AB21"/>
    <mergeCell ref="AE21:AF21"/>
    <mergeCell ref="AH21:AJ21"/>
    <mergeCell ref="AN21:AO21"/>
    <mergeCell ref="AS21:AU21"/>
    <mergeCell ref="AV21:AX21"/>
    <mergeCell ref="AY21:AZ21"/>
    <mergeCell ref="BA21:BB21"/>
    <mergeCell ref="BC21:BD21"/>
    <mergeCell ref="BE21:BK21"/>
    <mergeCell ref="A22:B22"/>
    <mergeCell ref="H22:I22"/>
    <mergeCell ref="N22:O22"/>
    <mergeCell ref="T22:U22"/>
    <mergeCell ref="W22:X22"/>
    <mergeCell ref="Y22:Z22"/>
    <mergeCell ref="AA22:AB22"/>
    <mergeCell ref="AE22:AF22"/>
    <mergeCell ref="AH22:AJ22"/>
    <mergeCell ref="AN22:AO22"/>
    <mergeCell ref="AS22:AU22"/>
    <mergeCell ref="AV22:AX22"/>
    <mergeCell ref="AY22:AZ22"/>
    <mergeCell ref="BA22:BB22"/>
    <mergeCell ref="BC22:BD22"/>
    <mergeCell ref="BE22:BK22"/>
    <mergeCell ref="A23:B23"/>
    <mergeCell ref="H23:I23"/>
    <mergeCell ref="N23:O23"/>
    <mergeCell ref="T23:U23"/>
    <mergeCell ref="W23:X23"/>
    <mergeCell ref="Y23:Z23"/>
    <mergeCell ref="AA23:AB23"/>
    <mergeCell ref="AE23:AF23"/>
    <mergeCell ref="AH23:AJ23"/>
    <mergeCell ref="AN23:AO23"/>
    <mergeCell ref="AS23:AU23"/>
    <mergeCell ref="AV23:AX23"/>
    <mergeCell ref="AY23:AZ23"/>
    <mergeCell ref="BA23:BB23"/>
    <mergeCell ref="BC23:BD23"/>
    <mergeCell ref="BE23:BK23"/>
    <mergeCell ref="A24:B24"/>
    <mergeCell ref="H24:I24"/>
    <mergeCell ref="N24:O24"/>
    <mergeCell ref="T24:U24"/>
    <mergeCell ref="W24:X24"/>
    <mergeCell ref="Y24:Z24"/>
    <mergeCell ref="AA24:AB24"/>
    <mergeCell ref="AE24:AF24"/>
    <mergeCell ref="AH24:AJ24"/>
    <mergeCell ref="AN24:AO24"/>
    <mergeCell ref="AS24:AU24"/>
    <mergeCell ref="AV24:AX24"/>
    <mergeCell ref="AY24:AZ24"/>
    <mergeCell ref="BA24:BB24"/>
    <mergeCell ref="BC24:BD24"/>
    <mergeCell ref="BE24:BK24"/>
    <mergeCell ref="A25:B25"/>
    <mergeCell ref="C25:G25"/>
    <mergeCell ref="H25:I25"/>
    <mergeCell ref="N25:O25"/>
    <mergeCell ref="T25:U25"/>
    <mergeCell ref="W25:X25"/>
    <mergeCell ref="Y25:Z25"/>
    <mergeCell ref="AA25:AB25"/>
    <mergeCell ref="AE25:AF25"/>
    <mergeCell ref="AH25:AJ25"/>
    <mergeCell ref="AN25:AO25"/>
    <mergeCell ref="AS25:AU25"/>
    <mergeCell ref="AV25:AX25"/>
    <mergeCell ref="AY25:AZ25"/>
    <mergeCell ref="BA25:BB25"/>
    <mergeCell ref="BC25:BD25"/>
    <mergeCell ref="BE25:BK25"/>
    <mergeCell ref="A26:B26"/>
    <mergeCell ref="C26:F26"/>
    <mergeCell ref="H26:I26"/>
    <mergeCell ref="N26:O26"/>
    <mergeCell ref="T26:U26"/>
    <mergeCell ref="W26:X26"/>
    <mergeCell ref="Y26:Z26"/>
    <mergeCell ref="AA26:AB26"/>
    <mergeCell ref="AE26:AF26"/>
    <mergeCell ref="AH26:AJ26"/>
    <mergeCell ref="AN26:AO26"/>
    <mergeCell ref="AS26:AU26"/>
    <mergeCell ref="AV26:AX26"/>
    <mergeCell ref="AY26:AZ26"/>
    <mergeCell ref="BA26:BB26"/>
    <mergeCell ref="BC26:BD26"/>
    <mergeCell ref="BE26:BK26"/>
    <mergeCell ref="A27:B27"/>
    <mergeCell ref="C27:F27"/>
    <mergeCell ref="H27:I27"/>
    <mergeCell ref="N27:O27"/>
    <mergeCell ref="T27:U27"/>
    <mergeCell ref="W27:X27"/>
    <mergeCell ref="Y27:Z27"/>
    <mergeCell ref="AA27:AB27"/>
    <mergeCell ref="AE27:AF27"/>
    <mergeCell ref="AH27:AJ27"/>
    <mergeCell ref="AN27:AO27"/>
    <mergeCell ref="AS27:AU27"/>
    <mergeCell ref="AV27:AX27"/>
    <mergeCell ref="AY27:AZ27"/>
    <mergeCell ref="BA27:BB27"/>
    <mergeCell ref="BC27:BD27"/>
    <mergeCell ref="BE27:BK27"/>
    <mergeCell ref="A28:B28"/>
    <mergeCell ref="C28:G28"/>
    <mergeCell ref="H28:I28"/>
    <mergeCell ref="N28:O28"/>
    <mergeCell ref="T28:U28"/>
    <mergeCell ref="W28:X28"/>
    <mergeCell ref="Y28:Z28"/>
    <mergeCell ref="AA28:AB28"/>
    <mergeCell ref="AE28:AF28"/>
    <mergeCell ref="AH28:AJ28"/>
    <mergeCell ref="AN28:AO28"/>
    <mergeCell ref="AS28:AU28"/>
    <mergeCell ref="AV28:AX28"/>
    <mergeCell ref="AY28:AZ28"/>
    <mergeCell ref="BA28:BB28"/>
    <mergeCell ref="BC28:BD28"/>
    <mergeCell ref="BE28:BK28"/>
    <mergeCell ref="A29:B29"/>
    <mergeCell ref="C29:G29"/>
    <mergeCell ref="H29:I29"/>
    <mergeCell ref="N29:O29"/>
    <mergeCell ref="T29:U29"/>
    <mergeCell ref="W29:X29"/>
    <mergeCell ref="Y29:Z29"/>
    <mergeCell ref="AA29:AB29"/>
    <mergeCell ref="AE29:AF29"/>
    <mergeCell ref="AH29:AJ29"/>
    <mergeCell ref="AN29:AO29"/>
    <mergeCell ref="AS29:AU29"/>
    <mergeCell ref="AV29:AX29"/>
    <mergeCell ref="AY29:AZ29"/>
    <mergeCell ref="BA29:BB29"/>
    <mergeCell ref="BC29:BD29"/>
    <mergeCell ref="BE29:BK29"/>
    <mergeCell ref="A30:B30"/>
    <mergeCell ref="C30:G30"/>
    <mergeCell ref="H30:I30"/>
    <mergeCell ref="N30:O30"/>
    <mergeCell ref="T30:U30"/>
    <mergeCell ref="W30:X30"/>
    <mergeCell ref="Y30:Z30"/>
    <mergeCell ref="AA30:AB30"/>
    <mergeCell ref="AE30:AF30"/>
    <mergeCell ref="AH30:AJ30"/>
    <mergeCell ref="AN30:AO30"/>
    <mergeCell ref="AS30:AU30"/>
    <mergeCell ref="AV30:AX30"/>
    <mergeCell ref="AY30:AZ30"/>
    <mergeCell ref="BA30:BB30"/>
    <mergeCell ref="BC30:BD30"/>
    <mergeCell ref="BE30:BK30"/>
    <mergeCell ref="A31:B31"/>
    <mergeCell ref="C31:F31"/>
    <mergeCell ref="H31:I31"/>
    <mergeCell ref="N31:O31"/>
    <mergeCell ref="T31:U31"/>
    <mergeCell ref="W31:X31"/>
    <mergeCell ref="Y31:Z31"/>
    <mergeCell ref="AA31:AB31"/>
    <mergeCell ref="AE31:AF31"/>
    <mergeCell ref="AH31:AJ31"/>
    <mergeCell ref="AN31:AO31"/>
    <mergeCell ref="AS31:AU31"/>
    <mergeCell ref="AV31:AX31"/>
    <mergeCell ref="AY31:AZ31"/>
    <mergeCell ref="BA31:BB31"/>
    <mergeCell ref="BC31:BD31"/>
    <mergeCell ref="BE31:BK31"/>
    <mergeCell ref="A32:B32"/>
    <mergeCell ref="C32:F32"/>
    <mergeCell ref="H32:I32"/>
    <mergeCell ref="N32:O32"/>
    <mergeCell ref="T32:U32"/>
    <mergeCell ref="W32:X32"/>
    <mergeCell ref="Y32:Z32"/>
    <mergeCell ref="AA32:AB32"/>
    <mergeCell ref="AE32:AF32"/>
    <mergeCell ref="AH32:AJ32"/>
    <mergeCell ref="AN32:AO32"/>
    <mergeCell ref="AS32:AU32"/>
    <mergeCell ref="AV32:AX32"/>
    <mergeCell ref="AY32:AZ32"/>
    <mergeCell ref="BA32:BB32"/>
    <mergeCell ref="BC32:BD32"/>
    <mergeCell ref="BE32:BK32"/>
    <mergeCell ref="A33:B33"/>
    <mergeCell ref="H33:I33"/>
    <mergeCell ref="N33:O33"/>
    <mergeCell ref="T33:U33"/>
    <mergeCell ref="W33:X33"/>
    <mergeCell ref="Y33:Z33"/>
    <mergeCell ref="AA33:AB33"/>
    <mergeCell ref="AE33:AF33"/>
    <mergeCell ref="AH33:AJ33"/>
    <mergeCell ref="AN33:AO33"/>
    <mergeCell ref="AS33:AU33"/>
    <mergeCell ref="AV33:AX33"/>
    <mergeCell ref="AY33:AZ33"/>
    <mergeCell ref="BA33:BB33"/>
    <mergeCell ref="BC33:BD33"/>
    <mergeCell ref="BE33:BK33"/>
    <mergeCell ref="A34:B34"/>
    <mergeCell ref="H34:I34"/>
    <mergeCell ref="N34:O34"/>
    <mergeCell ref="T34:U34"/>
    <mergeCell ref="W34:X34"/>
    <mergeCell ref="Y34:Z34"/>
    <mergeCell ref="AA34:AB34"/>
    <mergeCell ref="AE34:AF34"/>
    <mergeCell ref="AH34:AJ34"/>
    <mergeCell ref="AN34:AO34"/>
    <mergeCell ref="AS34:AU34"/>
    <mergeCell ref="AV34:AX34"/>
    <mergeCell ref="AY34:AZ34"/>
    <mergeCell ref="BA34:BB34"/>
    <mergeCell ref="BC34:BD34"/>
    <mergeCell ref="BE34:BK34"/>
    <mergeCell ref="A35:B35"/>
    <mergeCell ref="H35:I35"/>
    <mergeCell ref="N35:O35"/>
    <mergeCell ref="T35:U35"/>
    <mergeCell ref="W35:X35"/>
    <mergeCell ref="Y35:Z35"/>
    <mergeCell ref="AA35:AB35"/>
    <mergeCell ref="AE35:AF35"/>
    <mergeCell ref="AH35:AJ35"/>
    <mergeCell ref="AN35:AO35"/>
    <mergeCell ref="AS35:AU35"/>
    <mergeCell ref="AV35:AX35"/>
    <mergeCell ref="AY35:AZ35"/>
    <mergeCell ref="BA35:BB35"/>
    <mergeCell ref="BC35:BD35"/>
    <mergeCell ref="BE35:BK35"/>
    <mergeCell ref="A36:B36"/>
    <mergeCell ref="H36:I36"/>
    <mergeCell ref="N36:O36"/>
    <mergeCell ref="T36:U36"/>
    <mergeCell ref="W36:X36"/>
    <mergeCell ref="Y36:Z36"/>
    <mergeCell ref="AA36:AB36"/>
    <mergeCell ref="AE36:AF36"/>
    <mergeCell ref="AH36:AJ36"/>
    <mergeCell ref="AN36:AO36"/>
    <mergeCell ref="AS36:AU36"/>
    <mergeCell ref="AV36:AX36"/>
    <mergeCell ref="AY36:AZ36"/>
    <mergeCell ref="BA36:BB36"/>
    <mergeCell ref="BC36:BD36"/>
    <mergeCell ref="BE36:BK36"/>
    <mergeCell ref="A37:B37"/>
    <mergeCell ref="H37:I37"/>
    <mergeCell ref="N37:O37"/>
    <mergeCell ref="T37:U37"/>
    <mergeCell ref="W37:X37"/>
    <mergeCell ref="Y37:Z37"/>
    <mergeCell ref="AA37:AB37"/>
    <mergeCell ref="AE37:AF37"/>
    <mergeCell ref="AH37:AJ37"/>
    <mergeCell ref="AN37:AO37"/>
    <mergeCell ref="AS37:AU37"/>
    <mergeCell ref="AV37:AX37"/>
    <mergeCell ref="AY37:AZ37"/>
    <mergeCell ref="BA37:BB37"/>
    <mergeCell ref="BC37:BD37"/>
    <mergeCell ref="BE37:BK37"/>
    <mergeCell ref="A38:B38"/>
    <mergeCell ref="H38:I38"/>
    <mergeCell ref="N38:O38"/>
    <mergeCell ref="T38:U38"/>
    <mergeCell ref="W38:X38"/>
    <mergeCell ref="Y38:Z38"/>
    <mergeCell ref="AA38:AB38"/>
    <mergeCell ref="AE38:AF38"/>
    <mergeCell ref="AH38:AJ38"/>
    <mergeCell ref="AN38:AO38"/>
    <mergeCell ref="AS38:AU38"/>
    <mergeCell ref="AV38:AX38"/>
    <mergeCell ref="AY38:AZ38"/>
    <mergeCell ref="BA38:BB38"/>
    <mergeCell ref="BC38:BD38"/>
    <mergeCell ref="BE38:BK38"/>
    <mergeCell ref="A39:B39"/>
    <mergeCell ref="H39:I39"/>
    <mergeCell ref="N39:O39"/>
    <mergeCell ref="T39:U39"/>
    <mergeCell ref="W39:X39"/>
    <mergeCell ref="Y39:Z39"/>
    <mergeCell ref="AA39:AB39"/>
    <mergeCell ref="AE39:AF39"/>
    <mergeCell ref="AH39:AJ39"/>
    <mergeCell ref="AN39:AO39"/>
    <mergeCell ref="AS39:AU39"/>
    <mergeCell ref="AV39:AX39"/>
    <mergeCell ref="AY39:AZ39"/>
    <mergeCell ref="BA39:BB39"/>
    <mergeCell ref="BC39:BD39"/>
    <mergeCell ref="BE39:BK39"/>
    <mergeCell ref="A40:B40"/>
    <mergeCell ref="H40:I40"/>
    <mergeCell ref="N40:O40"/>
    <mergeCell ref="T40:U40"/>
    <mergeCell ref="W40:X40"/>
    <mergeCell ref="Y40:Z40"/>
    <mergeCell ref="AA40:AB40"/>
    <mergeCell ref="AE40:AF40"/>
    <mergeCell ref="AH40:AJ40"/>
    <mergeCell ref="AN40:AO40"/>
    <mergeCell ref="AS40:AU40"/>
    <mergeCell ref="AV40:AX40"/>
    <mergeCell ref="AY40:AZ40"/>
    <mergeCell ref="BA40:BB40"/>
    <mergeCell ref="BC40:BD40"/>
    <mergeCell ref="BE40:BK40"/>
    <mergeCell ref="A41:B41"/>
    <mergeCell ref="H41:I41"/>
    <mergeCell ref="N41:O41"/>
    <mergeCell ref="T41:U41"/>
    <mergeCell ref="W41:X41"/>
    <mergeCell ref="Y41:Z41"/>
    <mergeCell ref="AA41:AB41"/>
    <mergeCell ref="AE41:AF41"/>
    <mergeCell ref="AH41:AJ41"/>
    <mergeCell ref="AN41:AO41"/>
    <mergeCell ref="AS41:AU41"/>
    <mergeCell ref="AV41:AX41"/>
    <mergeCell ref="AY41:AZ41"/>
    <mergeCell ref="BA41:BB41"/>
    <mergeCell ref="BC41:BD41"/>
    <mergeCell ref="BE41:BK41"/>
    <mergeCell ref="A42:B42"/>
    <mergeCell ref="H42:I42"/>
    <mergeCell ref="N42:O42"/>
    <mergeCell ref="T42:U42"/>
    <mergeCell ref="W42:X42"/>
    <mergeCell ref="Y42:Z42"/>
    <mergeCell ref="AA42:AB42"/>
    <mergeCell ref="AE42:AF42"/>
    <mergeCell ref="AH42:AJ42"/>
    <mergeCell ref="AN42:AO42"/>
    <mergeCell ref="AS42:AU42"/>
    <mergeCell ref="AV42:AX42"/>
    <mergeCell ref="AY42:AZ42"/>
    <mergeCell ref="BA42:BB42"/>
    <mergeCell ref="BC42:BD42"/>
    <mergeCell ref="BE42:BK42"/>
    <mergeCell ref="A43:B43"/>
    <mergeCell ref="H43:I43"/>
    <mergeCell ref="N43:O43"/>
    <mergeCell ref="T43:U43"/>
    <mergeCell ref="BA43:BB43"/>
    <mergeCell ref="BC43:BD43"/>
    <mergeCell ref="A44:B44"/>
    <mergeCell ref="H44:I44"/>
    <mergeCell ref="N44:O44"/>
    <mergeCell ref="T44:U44"/>
    <mergeCell ref="W44:X44"/>
    <mergeCell ref="Y44:Z44"/>
    <mergeCell ref="AA44:AB44"/>
    <mergeCell ref="AT44:AU44"/>
    <mergeCell ref="AV44:AX44"/>
    <mergeCell ref="BA44:BB44"/>
    <mergeCell ref="BC44:BD44"/>
    <mergeCell ref="BE44:BI44"/>
    <mergeCell ref="A45:B45"/>
    <mergeCell ref="H45:I45"/>
    <mergeCell ref="N45:O45"/>
    <mergeCell ref="T45:U45"/>
    <mergeCell ref="BA45:BB45"/>
    <mergeCell ref="BC45:BD45"/>
    <mergeCell ref="A46:B46"/>
    <mergeCell ref="H46:I46"/>
    <mergeCell ref="N46:O46"/>
    <mergeCell ref="T46:U46"/>
    <mergeCell ref="BA46:BB46"/>
    <mergeCell ref="BC46:BD46"/>
    <mergeCell ref="A47:B47"/>
    <mergeCell ref="H47:I47"/>
    <mergeCell ref="N47:O47"/>
    <mergeCell ref="T47:U47"/>
    <mergeCell ref="BA47:BB47"/>
    <mergeCell ref="BC47:BD47"/>
    <mergeCell ref="A48:B48"/>
    <mergeCell ref="H48:I48"/>
    <mergeCell ref="N48:O48"/>
    <mergeCell ref="T48:U48"/>
    <mergeCell ref="W48:X48"/>
    <mergeCell ref="Y48:Z48"/>
    <mergeCell ref="AA48:AB48"/>
    <mergeCell ref="AE48:AF48"/>
    <mergeCell ref="AH48:AJ48"/>
    <mergeCell ref="AN48:AO48"/>
    <mergeCell ref="AS48:AU48"/>
    <mergeCell ref="AV48:AX48"/>
    <mergeCell ref="AY48:AZ48"/>
    <mergeCell ref="BA48:BB48"/>
    <mergeCell ref="BC48:BD48"/>
    <mergeCell ref="BE48:BK48"/>
    <mergeCell ref="A49:B49"/>
    <mergeCell ref="H49:I49"/>
    <mergeCell ref="N49:O49"/>
    <mergeCell ref="T49:U49"/>
    <mergeCell ref="W49:X49"/>
    <mergeCell ref="Y49:Z49"/>
    <mergeCell ref="AA49:AB49"/>
    <mergeCell ref="AE49:AF49"/>
    <mergeCell ref="AH49:AJ49"/>
    <mergeCell ref="AN49:AO49"/>
    <mergeCell ref="AS49:AU49"/>
    <mergeCell ref="AV49:AX49"/>
    <mergeCell ref="AY49:AZ49"/>
    <mergeCell ref="BA49:BB49"/>
    <mergeCell ref="BC49:BD49"/>
    <mergeCell ref="BE49:BK49"/>
    <mergeCell ref="A50:B50"/>
    <mergeCell ref="H50:I50"/>
    <mergeCell ref="N50:O50"/>
    <mergeCell ref="T50:U50"/>
    <mergeCell ref="BA50:BB50"/>
    <mergeCell ref="BC50:BD50"/>
    <mergeCell ref="A51:B51"/>
    <mergeCell ref="H51:I51"/>
    <mergeCell ref="N51:O51"/>
    <mergeCell ref="T51:U51"/>
    <mergeCell ref="BA51:BB51"/>
    <mergeCell ref="BC51:BD51"/>
    <mergeCell ref="A52:B52"/>
    <mergeCell ref="H52:I52"/>
    <mergeCell ref="N52:O52"/>
    <mergeCell ref="T52:U52"/>
    <mergeCell ref="BA52:BB52"/>
    <mergeCell ref="BC52:BD52"/>
    <mergeCell ref="A53:B53"/>
    <mergeCell ref="H53:I53"/>
    <mergeCell ref="N53:O53"/>
    <mergeCell ref="T53:U53"/>
    <mergeCell ref="W53:X53"/>
    <mergeCell ref="Y53:Z53"/>
    <mergeCell ref="AA53:AB53"/>
    <mergeCell ref="AE53:AF53"/>
    <mergeCell ref="AH53:AJ53"/>
    <mergeCell ref="AN53:AO53"/>
    <mergeCell ref="AS53:AU53"/>
    <mergeCell ref="AV53:AX53"/>
    <mergeCell ref="AY53:AZ53"/>
    <mergeCell ref="BA53:BB53"/>
    <mergeCell ref="BC53:BD53"/>
    <mergeCell ref="BE53:BK53"/>
    <mergeCell ref="A54:B54"/>
    <mergeCell ref="C54:F54"/>
    <mergeCell ref="H54:I54"/>
    <mergeCell ref="N54:O54"/>
    <mergeCell ref="T54:U54"/>
    <mergeCell ref="W54:X54"/>
    <mergeCell ref="Y54:Z54"/>
    <mergeCell ref="AA54:AB54"/>
    <mergeCell ref="AE54:AF54"/>
    <mergeCell ref="AH54:AJ54"/>
    <mergeCell ref="AN54:AO54"/>
    <mergeCell ref="AS54:AU54"/>
    <mergeCell ref="AV54:AX54"/>
    <mergeCell ref="AY54:AZ54"/>
    <mergeCell ref="BA54:BB54"/>
    <mergeCell ref="BC54:BD54"/>
    <mergeCell ref="BE54:BK54"/>
    <mergeCell ref="A55:B55"/>
    <mergeCell ref="C55:F55"/>
    <mergeCell ref="W55:X55"/>
    <mergeCell ref="A56:B56"/>
    <mergeCell ref="C56:F56"/>
    <mergeCell ref="H56:I56"/>
    <mergeCell ref="N56:O56"/>
    <mergeCell ref="T56:U56"/>
    <mergeCell ref="W56:X56"/>
    <mergeCell ref="Y56:Z56"/>
    <mergeCell ref="AA56:AB56"/>
    <mergeCell ref="AE56:AF56"/>
    <mergeCell ref="AH56:AJ56"/>
    <mergeCell ref="AN56:AO56"/>
    <mergeCell ref="AS56:AU56"/>
    <mergeCell ref="AV56:AX56"/>
    <mergeCell ref="AY56:AZ56"/>
    <mergeCell ref="BA56:BB56"/>
    <mergeCell ref="BC56:BD56"/>
    <mergeCell ref="BE56:BK56"/>
    <mergeCell ref="A57:B57"/>
    <mergeCell ref="C57:G57"/>
    <mergeCell ref="H57:I57"/>
    <mergeCell ref="N57:O57"/>
    <mergeCell ref="T57:U57"/>
    <mergeCell ref="W57:X57"/>
    <mergeCell ref="Y57:Z57"/>
    <mergeCell ref="AA57:AB57"/>
    <mergeCell ref="AE57:AF57"/>
    <mergeCell ref="AH57:AJ57"/>
    <mergeCell ref="AN57:AO57"/>
    <mergeCell ref="AS57:AU57"/>
    <mergeCell ref="AV57:AX57"/>
    <mergeCell ref="AY57:AZ57"/>
    <mergeCell ref="BA57:BB57"/>
    <mergeCell ref="BC57:BD57"/>
    <mergeCell ref="BE57:BK57"/>
    <mergeCell ref="A58:B58"/>
    <mergeCell ref="C58:G58"/>
    <mergeCell ref="H58:I58"/>
    <mergeCell ref="N58:O58"/>
    <mergeCell ref="T58:U58"/>
    <mergeCell ref="W58:X58"/>
    <mergeCell ref="Y58:Z58"/>
    <mergeCell ref="AA58:AB58"/>
    <mergeCell ref="AE58:AF58"/>
    <mergeCell ref="AH58:AJ58"/>
    <mergeCell ref="AN58:AO58"/>
    <mergeCell ref="AS58:AU58"/>
    <mergeCell ref="AV58:AX58"/>
    <mergeCell ref="AY58:AZ58"/>
    <mergeCell ref="BA58:BB58"/>
    <mergeCell ref="BC58:BD58"/>
    <mergeCell ref="BE58:BK58"/>
    <mergeCell ref="BF62:BG62"/>
    <mergeCell ref="BI62:BK62"/>
    <mergeCell ref="AJ64:AW64"/>
    <mergeCell ref="I65:U65"/>
    <mergeCell ref="AJ65:AW65"/>
    <mergeCell ref="BA79:BE79"/>
    <mergeCell ref="BF79:BG79"/>
    <mergeCell ref="BI79:BK79"/>
    <mergeCell ref="BA80:BE80"/>
    <mergeCell ref="BF80:BG80"/>
    <mergeCell ref="BI80:BK80"/>
    <mergeCell ref="BA85:BE85"/>
    <mergeCell ref="BF85:BG85"/>
    <mergeCell ref="BI85:BK85"/>
    <mergeCell ref="AZ90:BJ90"/>
    <mergeCell ref="AJ92:AW92"/>
    <mergeCell ref="AJ93:AW93"/>
    <mergeCell ref="AZ97:BJ97"/>
    <mergeCell ref="AI99:AV99"/>
    <mergeCell ref="BB101:BJ101"/>
    <mergeCell ref="BD60:BD62"/>
    <mergeCell ref="BE60:BE62"/>
    <mergeCell ref="BH63:BH66"/>
    <mergeCell ref="BH67:BH70"/>
    <mergeCell ref="BH71:BH74"/>
    <mergeCell ref="BH75:BH78"/>
    <mergeCell ref="BH81:BH82"/>
    <mergeCell ref="BH83:BH84"/>
    <mergeCell ref="BH86:BH87"/>
    <mergeCell ref="A1:BK2"/>
    <mergeCell ref="C6:G8"/>
    <mergeCell ref="BA6:BD7"/>
    <mergeCell ref="BE6:BK8"/>
    <mergeCell ref="A6:B8"/>
    <mergeCell ref="AJ66:AW73"/>
    <mergeCell ref="BF60:BK61"/>
    <mergeCell ref="A61:AA64"/>
    <mergeCell ref="AJ61:AW63"/>
    <mergeCell ref="BA63:BE66"/>
    <mergeCell ref="BF63:BG66"/>
    <mergeCell ref="BI63:BK66"/>
    <mergeCell ref="BF67:BG70"/>
    <mergeCell ref="BI67:BK70"/>
    <mergeCell ref="B68:H71"/>
    <mergeCell ref="I68:U69"/>
    <mergeCell ref="BA69:BE70"/>
    <mergeCell ref="I70:U71"/>
    <mergeCell ref="BA71:BE72"/>
    <mergeCell ref="B65:H67"/>
    <mergeCell ref="V72:Y75"/>
    <mergeCell ref="BA73:BE74"/>
    <mergeCell ref="I74:U75"/>
    <mergeCell ref="AJ74:AW75"/>
    <mergeCell ref="BA75:BE76"/>
    <mergeCell ref="BA67:BC68"/>
    <mergeCell ref="BD67:BE68"/>
    <mergeCell ref="V65:Y67"/>
    <mergeCell ref="I66:U67"/>
    <mergeCell ref="A78:AA81"/>
    <mergeCell ref="BF71:BG74"/>
    <mergeCell ref="BI71:BK74"/>
    <mergeCell ref="B72:H75"/>
    <mergeCell ref="I72:U73"/>
    <mergeCell ref="BF75:BG78"/>
    <mergeCell ref="BI75:BK78"/>
    <mergeCell ref="AJ76:AW81"/>
    <mergeCell ref="BA77:BE78"/>
    <mergeCell ref="AJ82:AW83"/>
    <mergeCell ref="BA83:BE84"/>
    <mergeCell ref="BF83:BG84"/>
    <mergeCell ref="BI83:BK84"/>
    <mergeCell ref="BA81:BE82"/>
    <mergeCell ref="BF81:BG82"/>
    <mergeCell ref="BI81:BK82"/>
    <mergeCell ref="AJ94:AW95"/>
    <mergeCell ref="BB95:BJ96"/>
    <mergeCell ref="AJ84:AW86"/>
    <mergeCell ref="BA86:BE87"/>
    <mergeCell ref="BF86:BG87"/>
    <mergeCell ref="BI86:BK87"/>
    <mergeCell ref="AJ89:AW91"/>
    <mergeCell ref="AJ87:AW88"/>
    <mergeCell ref="A59:AA60"/>
    <mergeCell ref="AJ59:AW60"/>
    <mergeCell ref="B82:AA84"/>
    <mergeCell ref="BB98:BI100"/>
    <mergeCell ref="BB91:BJ94"/>
    <mergeCell ref="BA60:BC62"/>
  </mergeCells>
  <printOptions horizontalCentered="1" verticalCentered="1"/>
  <pageMargins left="0.277777777777778" right="0.277777777777778" top="0.277777777777778" bottom="0.277777777777778" header="0" footer="0"/>
  <pageSetup paperSize="5" scale="90" fitToWidth="0" fitToHeight="0" pageOrder="overThenDown"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school_form_2_ver2014.2.1.1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Marco Isaac Salarda</cp:lastModifiedBy>
  <dcterms:created xsi:type="dcterms:W3CDTF">2026-07-16T02:36:26Z</dcterms:created>
  <cp:lastPrinted>2023-05-04T01:26:50Z</cp:lastPrinted>
  <dcterms:modified xsi:type="dcterms:W3CDTF">2026-07-16T02:36:27Z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69A5E89521184C58A4BFAB21A3685DD4_13</vt:lpwstr>
  </property>
  <property fmtid="{D5CDD505-2E9C-101B-9397-08002B2CF9AE}" pid="3" name="KSOProductBuildVer">
    <vt:lpwstr>1033-12.1.0.27458</vt:lpwstr>
  </property>
  <property fmtid="{D5CDD505-2E9C-101B-9397-08002B2CF9AE}" pid="4" name="CalculationRule">
    <vt:i4>0</vt:i4>
  </property>
</Properties>
</file>